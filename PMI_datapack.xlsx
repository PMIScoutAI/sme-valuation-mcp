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c4614bf64a6be991/Desktop/Prodotti Fastlane/PmiScout/"/>
    </mc:Choice>
  </mc:AlternateContent>
  <xr:revisionPtr revIDLastSave="0" documentId="13_ncr:1_{CAE0567F-AB89-4678-BEA4-97F3D7B0519E}" xr6:coauthVersionLast="47" xr6:coauthVersionMax="47" xr10:uidLastSave="{00000000-0000-0000-0000-000000000000}"/>
  <bookViews>
    <workbookView xWindow="-110" yWindow="-110" windowWidth="19420" windowHeight="10420" firstSheet="5" activeTab="9" xr2:uid="{0E053382-29C0-4C7D-BE1B-FA9BD6154B82}"/>
  </bookViews>
  <sheets>
    <sheet name="Football field" sheetId="12" r:id="rId1"/>
    <sheet name="DCF" sheetId="7" r:id="rId2"/>
    <sheet name="Income method" sheetId="8" r:id="rId3"/>
    <sheet name="Patrimoniale e misto" sheetId="9" r:id="rId4"/>
    <sheet name="Multipli di transazioni" sheetId="10" r:id="rId5"/>
    <sheet name="Multipli di borsa" sheetId="11" r:id="rId6"/>
    <sheet name="Proiezioni" sheetId="6" r:id="rId7"/>
    <sheet name="Actual data" sheetId="2" r:id="rId8"/>
    <sheet name="Mapping" sheetId="5" r:id="rId9"/>
    <sheet name="Aida export" sheetId="3" r:id="rId10"/>
  </sheets>
  <definedNames>
    <definedName name="_Order1" hidden="1">255</definedName>
    <definedName name="AccessDatabase" hidden="1">"C:\EXCEL\DATI\DATIMAT\CLIE19965.mdb"</definedName>
    <definedName name="HTML_CodePage" hidden="1">1252</definedName>
    <definedName name="HTML_Control" hidden="1">{"'Sheet1'!$A$1:$H$145"}</definedName>
    <definedName name="HTML_Description" hidden="1">""</definedName>
    <definedName name="HTML_Email" hidden="1">""</definedName>
    <definedName name="HTML_Header" hidden="1">"Country Risk Premiums"</definedName>
    <definedName name="HTML_LastUpdate" hidden="1">"2/19/99"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HD:HomePageStuff:New_Home_Page:datafile:ctryprem.html"</definedName>
    <definedName name="HTML_Title" hidden="1">"Country Risk Premiums"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"07/30/2020 07:43:25"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4" i="11" l="1"/>
  <c r="F45" i="8"/>
  <c r="C10" i="2" l="1"/>
  <c r="K45" i="7"/>
  <c r="E38" i="12"/>
  <c r="F64" i="12" s="1"/>
  <c r="C38" i="12"/>
  <c r="C64" i="12" s="1"/>
  <c r="E37" i="12"/>
  <c r="F63" i="12" s="1"/>
  <c r="C37" i="12"/>
  <c r="C63" i="12" s="1"/>
  <c r="E36" i="12"/>
  <c r="F62" i="12" s="1"/>
  <c r="C36" i="12"/>
  <c r="C62" i="12" s="1"/>
  <c r="E12" i="12"/>
  <c r="C12" i="12"/>
  <c r="E11" i="12"/>
  <c r="C11" i="12"/>
  <c r="E10" i="12"/>
  <c r="C10" i="12"/>
  <c r="L22" i="10"/>
  <c r="L21" i="10"/>
  <c r="L20" i="10"/>
  <c r="L19" i="10"/>
  <c r="L17" i="10"/>
  <c r="L13" i="10"/>
  <c r="I24" i="10"/>
  <c r="I23" i="10"/>
  <c r="L23" i="10" s="1"/>
  <c r="I18" i="10"/>
  <c r="L18" i="10" s="1"/>
  <c r="I14" i="10"/>
  <c r="L14" i="10" s="1"/>
  <c r="I12" i="10"/>
  <c r="I10" i="10"/>
  <c r="L10" i="10" s="1"/>
  <c r="G24" i="10"/>
  <c r="G23" i="10"/>
  <c r="G22" i="10"/>
  <c r="I22" i="10" s="1"/>
  <c r="G21" i="10"/>
  <c r="I21" i="10" s="1"/>
  <c r="G20" i="10"/>
  <c r="I20" i="10" s="1"/>
  <c r="G19" i="10"/>
  <c r="I19" i="10" s="1"/>
  <c r="G18" i="10"/>
  <c r="G17" i="10"/>
  <c r="I17" i="10" s="1"/>
  <c r="G16" i="10"/>
  <c r="I16" i="10" s="1"/>
  <c r="G15" i="10"/>
  <c r="I15" i="10" s="1"/>
  <c r="L15" i="10" s="1"/>
  <c r="G14" i="10"/>
  <c r="G13" i="10"/>
  <c r="I13" i="10" s="1"/>
  <c r="G12" i="10"/>
  <c r="G11" i="10"/>
  <c r="I11" i="10" s="1"/>
  <c r="G10" i="10"/>
  <c r="F66" i="9"/>
  <c r="F67" i="9" s="1"/>
  <c r="E66" i="9"/>
  <c r="E67" i="9" s="1"/>
  <c r="D67" i="9"/>
  <c r="D66" i="9"/>
  <c r="C51" i="9"/>
  <c r="D51" i="9" s="1"/>
  <c r="E51" i="9" s="1"/>
  <c r="F51" i="9" s="1"/>
  <c r="G51" i="9" s="1"/>
  <c r="H51" i="9" s="1"/>
  <c r="H50" i="9"/>
  <c r="G50" i="9"/>
  <c r="F50" i="9"/>
  <c r="E50" i="9"/>
  <c r="D50" i="9"/>
  <c r="E24" i="9"/>
  <c r="E28" i="9" s="1"/>
  <c r="D24" i="9"/>
  <c r="D28" i="9" s="1"/>
  <c r="C8" i="9"/>
  <c r="C22" i="9" s="1"/>
  <c r="C48" i="9" s="1"/>
  <c r="D48" i="9" s="1"/>
  <c r="F44" i="8"/>
  <c r="J33" i="8"/>
  <c r="I33" i="8"/>
  <c r="H33" i="8"/>
  <c r="G33" i="8"/>
  <c r="F33" i="8"/>
  <c r="J32" i="8"/>
  <c r="I32" i="8"/>
  <c r="H32" i="8"/>
  <c r="G32" i="8"/>
  <c r="F32" i="8"/>
  <c r="J26" i="8"/>
  <c r="K26" i="8" s="1"/>
  <c r="I26" i="8"/>
  <c r="H26" i="8"/>
  <c r="G26" i="8"/>
  <c r="F26" i="8"/>
  <c r="J25" i="8"/>
  <c r="I25" i="8"/>
  <c r="H25" i="8"/>
  <c r="G25" i="8"/>
  <c r="F25" i="8"/>
  <c r="J24" i="8"/>
  <c r="K24" i="8" s="1"/>
  <c r="I24" i="8"/>
  <c r="H24" i="8"/>
  <c r="G24" i="8"/>
  <c r="F24" i="8"/>
  <c r="J23" i="8"/>
  <c r="K23" i="8" s="1"/>
  <c r="I23" i="8"/>
  <c r="H23" i="8"/>
  <c r="G23" i="8"/>
  <c r="F23" i="8"/>
  <c r="J22" i="8"/>
  <c r="K22" i="8" s="1"/>
  <c r="I22" i="8"/>
  <c r="H22" i="8"/>
  <c r="G22" i="8"/>
  <c r="F22" i="8"/>
  <c r="J18" i="8"/>
  <c r="K18" i="8" s="1"/>
  <c r="I18" i="8"/>
  <c r="H18" i="8"/>
  <c r="G18" i="8"/>
  <c r="F18" i="8"/>
  <c r="J17" i="8"/>
  <c r="K17" i="8" s="1"/>
  <c r="I17" i="8"/>
  <c r="I19" i="8" s="1"/>
  <c r="H17" i="8"/>
  <c r="H19" i="8" s="1"/>
  <c r="G17" i="8"/>
  <c r="G19" i="8" s="1"/>
  <c r="F17" i="8"/>
  <c r="C15" i="8"/>
  <c r="D15" i="8" s="1"/>
  <c r="E15" i="8" s="1"/>
  <c r="F15" i="8" s="1"/>
  <c r="G15" i="8" s="1"/>
  <c r="H15" i="8" s="1"/>
  <c r="I15" i="8" s="1"/>
  <c r="J15" i="8" s="1"/>
  <c r="K24" i="7"/>
  <c r="K48" i="7"/>
  <c r="K33" i="7" s="1"/>
  <c r="K47" i="7"/>
  <c r="F52" i="7"/>
  <c r="G52" i="7" s="1"/>
  <c r="J33" i="7"/>
  <c r="I33" i="7"/>
  <c r="H33" i="7"/>
  <c r="G33" i="7"/>
  <c r="F33" i="7"/>
  <c r="J32" i="7"/>
  <c r="I32" i="7"/>
  <c r="H32" i="7"/>
  <c r="H44" i="7" s="1"/>
  <c r="G32" i="7"/>
  <c r="G44" i="7" s="1"/>
  <c r="F32" i="7"/>
  <c r="F44" i="7" s="1"/>
  <c r="J26" i="7"/>
  <c r="K26" i="7" s="1"/>
  <c r="I26" i="7"/>
  <c r="H26" i="7"/>
  <c r="G26" i="7"/>
  <c r="F26" i="7"/>
  <c r="J25" i="7"/>
  <c r="K25" i="7" s="1"/>
  <c r="I25" i="7"/>
  <c r="H25" i="7"/>
  <c r="G25" i="7"/>
  <c r="F25" i="7"/>
  <c r="J24" i="7"/>
  <c r="I24" i="7"/>
  <c r="H24" i="7"/>
  <c r="G24" i="7"/>
  <c r="F24" i="7"/>
  <c r="J23" i="7"/>
  <c r="K23" i="7" s="1"/>
  <c r="I23" i="7"/>
  <c r="H23" i="7"/>
  <c r="G23" i="7"/>
  <c r="F23" i="7"/>
  <c r="J22" i="7"/>
  <c r="K22" i="7" s="1"/>
  <c r="I22" i="7"/>
  <c r="I27" i="7" s="1"/>
  <c r="H22" i="7"/>
  <c r="H27" i="7" s="1"/>
  <c r="G22" i="7"/>
  <c r="G27" i="7" s="1"/>
  <c r="F22" i="7"/>
  <c r="J18" i="7"/>
  <c r="K18" i="7" s="1"/>
  <c r="I18" i="7"/>
  <c r="H18" i="7"/>
  <c r="G18" i="7"/>
  <c r="F18" i="7"/>
  <c r="J17" i="7"/>
  <c r="J19" i="7" s="1"/>
  <c r="I17" i="7"/>
  <c r="I19" i="7" s="1"/>
  <c r="H17" i="7"/>
  <c r="H19" i="7" s="1"/>
  <c r="G17" i="7"/>
  <c r="G19" i="7" s="1"/>
  <c r="F17" i="7"/>
  <c r="J48" i="7"/>
  <c r="I48" i="7"/>
  <c r="H48" i="7"/>
  <c r="G48" i="7"/>
  <c r="J47" i="7"/>
  <c r="I47" i="7"/>
  <c r="H47" i="7"/>
  <c r="G47" i="7"/>
  <c r="J46" i="7"/>
  <c r="I46" i="7"/>
  <c r="H46" i="7"/>
  <c r="G46" i="7"/>
  <c r="J45" i="7"/>
  <c r="I45" i="7"/>
  <c r="H45" i="7"/>
  <c r="G45" i="7"/>
  <c r="G91" i="6"/>
  <c r="G100" i="6"/>
  <c r="I98" i="6"/>
  <c r="F94" i="6"/>
  <c r="G50" i="6"/>
  <c r="G93" i="6"/>
  <c r="J94" i="6"/>
  <c r="I94" i="6"/>
  <c r="H94" i="6"/>
  <c r="G94" i="6"/>
  <c r="J98" i="6"/>
  <c r="H98" i="6"/>
  <c r="G98" i="6"/>
  <c r="F98" i="6"/>
  <c r="F20" i="6"/>
  <c r="J20" i="6"/>
  <c r="I20" i="6"/>
  <c r="H20" i="6"/>
  <c r="G20" i="6"/>
  <c r="J12" i="6"/>
  <c r="I12" i="6"/>
  <c r="H12" i="6"/>
  <c r="G12" i="6"/>
  <c r="F12" i="6"/>
  <c r="E65" i="6"/>
  <c r="D65" i="6"/>
  <c r="C65" i="6"/>
  <c r="C77" i="2"/>
  <c r="D77" i="2"/>
  <c r="E77" i="2"/>
  <c r="F77" i="2"/>
  <c r="G77" i="2"/>
  <c r="C77" i="6" s="1"/>
  <c r="H77" i="2"/>
  <c r="D77" i="6" s="1"/>
  <c r="I77" i="2"/>
  <c r="E77" i="6" s="1"/>
  <c r="F93" i="6" s="1"/>
  <c r="C72" i="2"/>
  <c r="D72" i="2"/>
  <c r="E72" i="2"/>
  <c r="F72" i="2"/>
  <c r="G72" i="2"/>
  <c r="C72" i="6" s="1"/>
  <c r="H72" i="2"/>
  <c r="D72" i="6" s="1"/>
  <c r="I72" i="2"/>
  <c r="E72" i="6" s="1"/>
  <c r="C74" i="7" s="1"/>
  <c r="D85" i="2"/>
  <c r="E85" i="2" s="1"/>
  <c r="F85" i="2" s="1"/>
  <c r="G85" i="2" s="1"/>
  <c r="H85" i="2" s="1"/>
  <c r="I85" i="2" s="1"/>
  <c r="I61" i="2"/>
  <c r="E61" i="6" s="1"/>
  <c r="C64" i="7" s="1"/>
  <c r="H61" i="2"/>
  <c r="D61" i="6" s="1"/>
  <c r="G61" i="2"/>
  <c r="C61" i="6" s="1"/>
  <c r="F61" i="2"/>
  <c r="E61" i="2"/>
  <c r="D61" i="2"/>
  <c r="C61" i="2"/>
  <c r="I71" i="2"/>
  <c r="E71" i="6" s="1"/>
  <c r="C73" i="7" s="1"/>
  <c r="H71" i="2"/>
  <c r="D71" i="6" s="1"/>
  <c r="G71" i="2"/>
  <c r="C71" i="6" s="1"/>
  <c r="F71" i="2"/>
  <c r="E71" i="2"/>
  <c r="D71" i="2"/>
  <c r="C71" i="2"/>
  <c r="I70" i="2"/>
  <c r="E70" i="6" s="1"/>
  <c r="C72" i="7" s="1"/>
  <c r="H70" i="2"/>
  <c r="D70" i="6" s="1"/>
  <c r="G70" i="2"/>
  <c r="C70" i="6" s="1"/>
  <c r="F70" i="2"/>
  <c r="E70" i="2"/>
  <c r="D70" i="2"/>
  <c r="C70" i="2"/>
  <c r="I69" i="2"/>
  <c r="E69" i="6" s="1"/>
  <c r="C71" i="7" s="1"/>
  <c r="H69" i="2"/>
  <c r="D69" i="6" s="1"/>
  <c r="G69" i="2"/>
  <c r="C69" i="6" s="1"/>
  <c r="F69" i="2"/>
  <c r="E69" i="2"/>
  <c r="D69" i="2"/>
  <c r="C69" i="2"/>
  <c r="I68" i="2"/>
  <c r="E68" i="6" s="1"/>
  <c r="C70" i="7" s="1"/>
  <c r="H68" i="2"/>
  <c r="D68" i="6" s="1"/>
  <c r="G68" i="2"/>
  <c r="C68" i="6" s="1"/>
  <c r="F68" i="2"/>
  <c r="E68" i="2"/>
  <c r="D68" i="2"/>
  <c r="C68" i="2"/>
  <c r="I67" i="2"/>
  <c r="E67" i="6" s="1"/>
  <c r="C69" i="7" s="1"/>
  <c r="H67" i="2"/>
  <c r="D67" i="6" s="1"/>
  <c r="G67" i="2"/>
  <c r="C67" i="6" s="1"/>
  <c r="F67" i="2"/>
  <c r="E67" i="2"/>
  <c r="D67" i="2"/>
  <c r="C67" i="2"/>
  <c r="I75" i="2"/>
  <c r="E75" i="6" s="1"/>
  <c r="C76" i="9" s="1"/>
  <c r="H75" i="2"/>
  <c r="D75" i="6" s="1"/>
  <c r="G75" i="2"/>
  <c r="C75" i="6" s="1"/>
  <c r="F75" i="2"/>
  <c r="E75" i="2"/>
  <c r="D75" i="2"/>
  <c r="C75" i="2"/>
  <c r="I65" i="2"/>
  <c r="H65" i="2"/>
  <c r="G65" i="2"/>
  <c r="F65" i="2"/>
  <c r="E65" i="2"/>
  <c r="D65" i="2"/>
  <c r="C65" i="2"/>
  <c r="I59" i="2"/>
  <c r="E59" i="6" s="1"/>
  <c r="C26" i="9" s="1"/>
  <c r="F26" i="9" s="1"/>
  <c r="H59" i="2"/>
  <c r="D59" i="6" s="1"/>
  <c r="G59" i="2"/>
  <c r="C59" i="6" s="1"/>
  <c r="F59" i="2"/>
  <c r="E59" i="2"/>
  <c r="D59" i="2"/>
  <c r="C59" i="2"/>
  <c r="I56" i="2"/>
  <c r="E56" i="6" s="1"/>
  <c r="H56" i="2"/>
  <c r="D56" i="6" s="1"/>
  <c r="G56" i="2"/>
  <c r="C56" i="6" s="1"/>
  <c r="F56" i="2"/>
  <c r="E56" i="2"/>
  <c r="D56" i="2"/>
  <c r="C56" i="2"/>
  <c r="I55" i="2"/>
  <c r="E55" i="6" s="1"/>
  <c r="H55" i="2"/>
  <c r="D55" i="6" s="1"/>
  <c r="G55" i="2"/>
  <c r="C55" i="6" s="1"/>
  <c r="F55" i="2"/>
  <c r="E55" i="2"/>
  <c r="D55" i="2"/>
  <c r="C55" i="2"/>
  <c r="I54" i="2"/>
  <c r="E54" i="6" s="1"/>
  <c r="H54" i="2"/>
  <c r="D54" i="6" s="1"/>
  <c r="G54" i="2"/>
  <c r="C54" i="6" s="1"/>
  <c r="F54" i="2"/>
  <c r="E54" i="2"/>
  <c r="D54" i="2"/>
  <c r="C54" i="2"/>
  <c r="I53" i="2"/>
  <c r="E53" i="6" s="1"/>
  <c r="H53" i="2"/>
  <c r="D53" i="6" s="1"/>
  <c r="G53" i="2"/>
  <c r="C53" i="6" s="1"/>
  <c r="F53" i="2"/>
  <c r="E53" i="2"/>
  <c r="D53" i="2"/>
  <c r="C53" i="2"/>
  <c r="I52" i="2"/>
  <c r="E52" i="6" s="1"/>
  <c r="H52" i="2"/>
  <c r="D52" i="6" s="1"/>
  <c r="G52" i="2"/>
  <c r="C52" i="6" s="1"/>
  <c r="F52" i="2"/>
  <c r="E52" i="2"/>
  <c r="D52" i="2"/>
  <c r="C52" i="2"/>
  <c r="I49" i="2"/>
  <c r="E49" i="6" s="1"/>
  <c r="H49" i="2"/>
  <c r="D49" i="6" s="1"/>
  <c r="G49" i="2"/>
  <c r="C49" i="6" s="1"/>
  <c r="F49" i="2"/>
  <c r="E49" i="2"/>
  <c r="D49" i="2"/>
  <c r="C49" i="2"/>
  <c r="I48" i="2"/>
  <c r="E48" i="6" s="1"/>
  <c r="H48" i="2"/>
  <c r="D48" i="6" s="1"/>
  <c r="G48" i="2"/>
  <c r="C48" i="6" s="1"/>
  <c r="F48" i="2"/>
  <c r="E48" i="2"/>
  <c r="D48" i="2"/>
  <c r="C48" i="2"/>
  <c r="I47" i="2"/>
  <c r="E47" i="6" s="1"/>
  <c r="H47" i="2"/>
  <c r="D47" i="6" s="1"/>
  <c r="G47" i="2"/>
  <c r="C47" i="6" s="1"/>
  <c r="F47" i="2"/>
  <c r="E47" i="2"/>
  <c r="D47" i="2"/>
  <c r="C47" i="2"/>
  <c r="D45" i="2"/>
  <c r="E45" i="2" s="1"/>
  <c r="F45" i="2" s="1"/>
  <c r="G45" i="2" s="1"/>
  <c r="H45" i="2" s="1"/>
  <c r="I45" i="2" s="1"/>
  <c r="I37" i="2"/>
  <c r="H37" i="2"/>
  <c r="G37" i="2"/>
  <c r="F37" i="2"/>
  <c r="E37" i="2"/>
  <c r="D37" i="2"/>
  <c r="C37" i="2"/>
  <c r="I31" i="2"/>
  <c r="E31" i="6" s="1"/>
  <c r="H31" i="2"/>
  <c r="D31" i="6" s="1"/>
  <c r="G31" i="2"/>
  <c r="C31" i="6" s="1"/>
  <c r="F31" i="2"/>
  <c r="E31" i="2"/>
  <c r="D31" i="2"/>
  <c r="C31" i="2"/>
  <c r="I32" i="2"/>
  <c r="I98" i="2" s="1"/>
  <c r="H32" i="2"/>
  <c r="H98" i="2" s="1"/>
  <c r="G32" i="2"/>
  <c r="G98" i="2" s="1"/>
  <c r="F32" i="2"/>
  <c r="F98" i="2" s="1"/>
  <c r="E32" i="2"/>
  <c r="E98" i="2" s="1"/>
  <c r="D32" i="2"/>
  <c r="D98" i="2" s="1"/>
  <c r="C32" i="2"/>
  <c r="I33" i="2"/>
  <c r="I94" i="2" s="1"/>
  <c r="H33" i="2"/>
  <c r="H94" i="2" s="1"/>
  <c r="G33" i="2"/>
  <c r="G94" i="2" s="1"/>
  <c r="F33" i="2"/>
  <c r="F94" i="2" s="1"/>
  <c r="E33" i="2"/>
  <c r="E94" i="2" s="1"/>
  <c r="D33" i="2"/>
  <c r="D94" i="2" s="1"/>
  <c r="C33" i="2"/>
  <c r="I26" i="2"/>
  <c r="H26" i="2"/>
  <c r="G26" i="2"/>
  <c r="F26" i="2"/>
  <c r="E26" i="2"/>
  <c r="D26" i="2"/>
  <c r="C26" i="2"/>
  <c r="I25" i="2"/>
  <c r="H25" i="2"/>
  <c r="G25" i="2"/>
  <c r="F25" i="2"/>
  <c r="E25" i="2"/>
  <c r="D25" i="2"/>
  <c r="C25" i="2"/>
  <c r="I19" i="2"/>
  <c r="E19" i="6" s="1"/>
  <c r="E26" i="8" s="1"/>
  <c r="H19" i="2"/>
  <c r="D19" i="6" s="1"/>
  <c r="D26" i="7" s="1"/>
  <c r="G19" i="2"/>
  <c r="C19" i="6" s="1"/>
  <c r="C26" i="8" s="1"/>
  <c r="F19" i="2"/>
  <c r="E19" i="2"/>
  <c r="D19" i="2"/>
  <c r="C19" i="2"/>
  <c r="I18" i="2"/>
  <c r="E18" i="6" s="1"/>
  <c r="E25" i="7" s="1"/>
  <c r="H18" i="2"/>
  <c r="G18" i="2"/>
  <c r="F18" i="2"/>
  <c r="E18" i="2"/>
  <c r="D18" i="2"/>
  <c r="C18" i="2"/>
  <c r="I17" i="2"/>
  <c r="H17" i="2"/>
  <c r="G17" i="2"/>
  <c r="C17" i="6" s="1"/>
  <c r="C24" i="7" s="1"/>
  <c r="F17" i="2"/>
  <c r="E17" i="2"/>
  <c r="D17" i="2"/>
  <c r="C17" i="2"/>
  <c r="I16" i="2"/>
  <c r="E16" i="6" s="1"/>
  <c r="E23" i="8" s="1"/>
  <c r="H16" i="2"/>
  <c r="D16" i="6" s="1"/>
  <c r="D23" i="7" s="1"/>
  <c r="G16" i="2"/>
  <c r="C16" i="6" s="1"/>
  <c r="C23" i="7" s="1"/>
  <c r="F16" i="2"/>
  <c r="E16" i="2"/>
  <c r="D16" i="2"/>
  <c r="C16" i="2"/>
  <c r="I15" i="2"/>
  <c r="H15" i="2"/>
  <c r="G15" i="2"/>
  <c r="F15" i="2"/>
  <c r="E15" i="2"/>
  <c r="D15" i="2"/>
  <c r="C15" i="2"/>
  <c r="I11" i="2"/>
  <c r="H11" i="2"/>
  <c r="D11" i="6" s="1"/>
  <c r="D18" i="7" s="1"/>
  <c r="G11" i="2"/>
  <c r="C11" i="6" s="1"/>
  <c r="C18" i="7" s="1"/>
  <c r="F11" i="2"/>
  <c r="E11" i="2"/>
  <c r="D11" i="2"/>
  <c r="C11" i="2"/>
  <c r="I10" i="2"/>
  <c r="E10" i="6" s="1"/>
  <c r="E17" i="7" s="1"/>
  <c r="H10" i="2"/>
  <c r="D10" i="6" s="1"/>
  <c r="D17" i="8" s="1"/>
  <c r="G10" i="2"/>
  <c r="C10" i="6" s="1"/>
  <c r="C17" i="8" s="1"/>
  <c r="F10" i="2"/>
  <c r="E10" i="2"/>
  <c r="D10" i="2"/>
  <c r="D8" i="2"/>
  <c r="E8" i="2" s="1"/>
  <c r="F8" i="2" s="1"/>
  <c r="G8" i="2" s="1"/>
  <c r="H8" i="2" s="1"/>
  <c r="I8" i="2" s="1"/>
  <c r="D52" i="9" l="1"/>
  <c r="D54" i="9" s="1"/>
  <c r="D64" i="9" s="1"/>
  <c r="C77" i="9"/>
  <c r="C50" i="10"/>
  <c r="C56" i="8"/>
  <c r="C51" i="10"/>
  <c r="C62" i="8"/>
  <c r="E51" i="10"/>
  <c r="C77" i="7"/>
  <c r="C63" i="8"/>
  <c r="E50" i="10"/>
  <c r="C27" i="9"/>
  <c r="F27" i="9" s="1"/>
  <c r="C61" i="8"/>
  <c r="C13" i="9"/>
  <c r="C14" i="9"/>
  <c r="D43" i="11"/>
  <c r="C75" i="7"/>
  <c r="C65" i="8"/>
  <c r="C66" i="8"/>
  <c r="I93" i="2"/>
  <c r="D57" i="6"/>
  <c r="C69" i="8"/>
  <c r="C43" i="11"/>
  <c r="D50" i="10"/>
  <c r="C44" i="11"/>
  <c r="C64" i="8"/>
  <c r="F31" i="9"/>
  <c r="D51" i="10"/>
  <c r="D44" i="11"/>
  <c r="F93" i="2"/>
  <c r="F32" i="9"/>
  <c r="C23" i="8"/>
  <c r="D23" i="8"/>
  <c r="C18" i="8"/>
  <c r="C19" i="8" s="1"/>
  <c r="C20" i="8" s="1"/>
  <c r="D18" i="8"/>
  <c r="D19" i="8" s="1"/>
  <c r="E26" i="7"/>
  <c r="C24" i="8"/>
  <c r="E25" i="8"/>
  <c r="C17" i="7"/>
  <c r="C26" i="7"/>
  <c r="E23" i="7"/>
  <c r="E17" i="8"/>
  <c r="D26" i="8"/>
  <c r="D17" i="7"/>
  <c r="L11" i="10"/>
  <c r="L12" i="10"/>
  <c r="L24" i="10"/>
  <c r="L16" i="10"/>
  <c r="F47" i="12"/>
  <c r="C48" i="12"/>
  <c r="F48" i="12"/>
  <c r="C47" i="12"/>
  <c r="F46" i="12"/>
  <c r="C46" i="12"/>
  <c r="D28" i="11"/>
  <c r="D26" i="11"/>
  <c r="D34" i="11" s="1"/>
  <c r="D27" i="11"/>
  <c r="K19" i="8"/>
  <c r="D25" i="11"/>
  <c r="C28" i="11"/>
  <c r="C27" i="11"/>
  <c r="C26" i="11"/>
  <c r="C25" i="11"/>
  <c r="H52" i="7"/>
  <c r="G53" i="7"/>
  <c r="F53" i="7"/>
  <c r="F19" i="8"/>
  <c r="G20" i="8"/>
  <c r="J27" i="8"/>
  <c r="H27" i="8"/>
  <c r="H29" i="8" s="1"/>
  <c r="I27" i="8"/>
  <c r="I29" i="8" s="1"/>
  <c r="G66" i="9"/>
  <c r="E52" i="9"/>
  <c r="F52" i="9"/>
  <c r="E48" i="9"/>
  <c r="G52" i="9"/>
  <c r="H52" i="9"/>
  <c r="I52" i="9" s="1"/>
  <c r="J52" i="9" s="1"/>
  <c r="K52" i="9" s="1"/>
  <c r="L52" i="9" s="1"/>
  <c r="M52" i="9" s="1"/>
  <c r="G27" i="8"/>
  <c r="F27" i="8"/>
  <c r="F29" i="8" s="1"/>
  <c r="H20" i="8"/>
  <c r="I20" i="8"/>
  <c r="G29" i="8"/>
  <c r="K25" i="8"/>
  <c r="K27" i="8" s="1"/>
  <c r="J19" i="8"/>
  <c r="G44" i="8"/>
  <c r="K17" i="7"/>
  <c r="K19" i="7" s="1"/>
  <c r="K20" i="7" s="1"/>
  <c r="K27" i="7"/>
  <c r="F19" i="7"/>
  <c r="G20" i="7" s="1"/>
  <c r="J27" i="7"/>
  <c r="J29" i="7" s="1"/>
  <c r="F27" i="7"/>
  <c r="I44" i="7"/>
  <c r="J44" i="7"/>
  <c r="G29" i="7"/>
  <c r="G35" i="7" s="1"/>
  <c r="H20" i="7"/>
  <c r="I20" i="7"/>
  <c r="E93" i="2"/>
  <c r="J20" i="7"/>
  <c r="C8" i="6"/>
  <c r="D8" i="6" s="1"/>
  <c r="E8" i="6" s="1"/>
  <c r="E45" i="6" s="1"/>
  <c r="C15" i="7"/>
  <c r="D15" i="7" s="1"/>
  <c r="I29" i="7"/>
  <c r="I30" i="7" s="1"/>
  <c r="H29" i="7"/>
  <c r="H35" i="7" s="1"/>
  <c r="D100" i="6"/>
  <c r="D91" i="6"/>
  <c r="E11" i="6"/>
  <c r="C25" i="6"/>
  <c r="E85" i="6"/>
  <c r="G93" i="2"/>
  <c r="H93" i="2"/>
  <c r="D73" i="6"/>
  <c r="D79" i="6" s="1"/>
  <c r="C12" i="6"/>
  <c r="C13" i="6" s="1"/>
  <c r="C50" i="6"/>
  <c r="E100" i="6"/>
  <c r="F100" i="6"/>
  <c r="F99" i="6"/>
  <c r="E91" i="6"/>
  <c r="C15" i="6"/>
  <c r="E17" i="6"/>
  <c r="D25" i="6"/>
  <c r="C32" i="6"/>
  <c r="E37" i="6"/>
  <c r="E93" i="6" s="1"/>
  <c r="D15" i="6"/>
  <c r="C18" i="6"/>
  <c r="E25" i="6"/>
  <c r="D32" i="6"/>
  <c r="D98" i="6" s="1"/>
  <c r="D37" i="6"/>
  <c r="D93" i="6" s="1"/>
  <c r="E15" i="6"/>
  <c r="D18" i="6"/>
  <c r="C26" i="6"/>
  <c r="E32" i="6"/>
  <c r="E98" i="6" s="1"/>
  <c r="D17" i="6"/>
  <c r="D93" i="2"/>
  <c r="D26" i="6"/>
  <c r="C33" i="6"/>
  <c r="I92" i="2"/>
  <c r="H99" i="2"/>
  <c r="E26" i="6"/>
  <c r="D33" i="6"/>
  <c r="D94" i="6" s="1"/>
  <c r="E99" i="2"/>
  <c r="E33" i="6"/>
  <c r="E94" i="6" s="1"/>
  <c r="C37" i="6"/>
  <c r="H93" i="6"/>
  <c r="H100" i="6"/>
  <c r="H73" i="6"/>
  <c r="H79" i="6" s="1"/>
  <c r="G73" i="6"/>
  <c r="G79" i="6" s="1"/>
  <c r="G99" i="6"/>
  <c r="F73" i="6"/>
  <c r="F79" i="6" s="1"/>
  <c r="G92" i="6"/>
  <c r="I91" i="6"/>
  <c r="H91" i="6"/>
  <c r="F57" i="6"/>
  <c r="H57" i="6"/>
  <c r="G57" i="6"/>
  <c r="G63" i="6" s="1"/>
  <c r="F50" i="6"/>
  <c r="H50" i="6"/>
  <c r="J13" i="6"/>
  <c r="I13" i="6"/>
  <c r="F22" i="6"/>
  <c r="G22" i="6"/>
  <c r="G13" i="6"/>
  <c r="H22" i="6"/>
  <c r="H13" i="6"/>
  <c r="F92" i="6"/>
  <c r="F48" i="7" s="1"/>
  <c r="J22" i="6"/>
  <c r="F91" i="6"/>
  <c r="F47" i="7" s="1"/>
  <c r="I22" i="6"/>
  <c r="E50" i="6"/>
  <c r="C24" i="9" s="1"/>
  <c r="F24" i="9" s="1"/>
  <c r="E99" i="6"/>
  <c r="E73" i="6"/>
  <c r="D12" i="6"/>
  <c r="D50" i="6"/>
  <c r="C57" i="6"/>
  <c r="E57" i="6"/>
  <c r="C25" i="9" s="1"/>
  <c r="F25" i="9" s="1"/>
  <c r="C73" i="6"/>
  <c r="C79" i="6" s="1"/>
  <c r="D99" i="6"/>
  <c r="I99" i="2"/>
  <c r="D99" i="2"/>
  <c r="F99" i="2"/>
  <c r="D92" i="2"/>
  <c r="G99" i="2"/>
  <c r="E92" i="2"/>
  <c r="G92" i="2"/>
  <c r="H92" i="2"/>
  <c r="F92" i="2"/>
  <c r="F100" i="2"/>
  <c r="H100" i="2"/>
  <c r="D91" i="2"/>
  <c r="E100" i="2"/>
  <c r="F91" i="2"/>
  <c r="G100" i="2"/>
  <c r="D100" i="2"/>
  <c r="I100" i="2"/>
  <c r="I91" i="2"/>
  <c r="E91" i="2"/>
  <c r="G91" i="2"/>
  <c r="H91" i="2"/>
  <c r="H50" i="2"/>
  <c r="D73" i="2"/>
  <c r="D79" i="2" s="1"/>
  <c r="C50" i="2"/>
  <c r="D12" i="2"/>
  <c r="I50" i="2"/>
  <c r="F73" i="2"/>
  <c r="F79" i="2" s="1"/>
  <c r="H57" i="2"/>
  <c r="I73" i="2"/>
  <c r="I79" i="2" s="1"/>
  <c r="G50" i="2"/>
  <c r="C57" i="2"/>
  <c r="D57" i="2"/>
  <c r="E57" i="2"/>
  <c r="F57" i="2"/>
  <c r="G57" i="2"/>
  <c r="G73" i="2"/>
  <c r="G79" i="2" s="1"/>
  <c r="E50" i="2"/>
  <c r="H73" i="2"/>
  <c r="H79" i="2" s="1"/>
  <c r="I57" i="2"/>
  <c r="D50" i="2"/>
  <c r="F50" i="2"/>
  <c r="C73" i="2"/>
  <c r="C79" i="2" s="1"/>
  <c r="E73" i="2"/>
  <c r="E79" i="2" s="1"/>
  <c r="E12" i="2"/>
  <c r="G12" i="2"/>
  <c r="G20" i="2"/>
  <c r="E20" i="2"/>
  <c r="F12" i="2"/>
  <c r="H12" i="2"/>
  <c r="C12" i="2"/>
  <c r="C13" i="2" s="1"/>
  <c r="I12" i="2"/>
  <c r="H20" i="2"/>
  <c r="I20" i="2"/>
  <c r="C20" i="2"/>
  <c r="D20" i="2"/>
  <c r="F20" i="2"/>
  <c r="C67" i="8" l="1"/>
  <c r="F28" i="9"/>
  <c r="C28" i="9"/>
  <c r="E79" i="6"/>
  <c r="E49" i="10"/>
  <c r="E52" i="10" s="1"/>
  <c r="C49" i="10"/>
  <c r="C52" i="10" s="1"/>
  <c r="C75" i="9"/>
  <c r="C78" i="9" s="1"/>
  <c r="D49" i="10"/>
  <c r="D52" i="10" s="1"/>
  <c r="F30" i="9"/>
  <c r="F33" i="9" s="1"/>
  <c r="D42" i="11"/>
  <c r="D45" i="11" s="1"/>
  <c r="C12" i="9"/>
  <c r="C15" i="9" s="1"/>
  <c r="C42" i="11"/>
  <c r="C45" i="11" s="1"/>
  <c r="D20" i="8"/>
  <c r="D24" i="7"/>
  <c r="D24" i="8"/>
  <c r="D32" i="8"/>
  <c r="D32" i="7"/>
  <c r="E24" i="8"/>
  <c r="E24" i="7"/>
  <c r="C32" i="7"/>
  <c r="C32" i="8"/>
  <c r="C33" i="8"/>
  <c r="C33" i="7"/>
  <c r="C22" i="8"/>
  <c r="C22" i="7"/>
  <c r="E12" i="6"/>
  <c r="F13" i="6" s="1"/>
  <c r="E18" i="7"/>
  <c r="E19" i="7" s="1"/>
  <c r="E18" i="8"/>
  <c r="E19" i="8" s="1"/>
  <c r="D25" i="7"/>
  <c r="D25" i="8"/>
  <c r="E22" i="8"/>
  <c r="E27" i="8" s="1"/>
  <c r="E22" i="7"/>
  <c r="E27" i="7" s="1"/>
  <c r="E29" i="7" s="1"/>
  <c r="E92" i="6"/>
  <c r="E33" i="7"/>
  <c r="E33" i="8"/>
  <c r="E32" i="8"/>
  <c r="E32" i="7"/>
  <c r="C25" i="8"/>
  <c r="C25" i="7"/>
  <c r="D22" i="7"/>
  <c r="D22" i="8"/>
  <c r="D92" i="6"/>
  <c r="D33" i="7"/>
  <c r="D33" i="8"/>
  <c r="C20" i="12"/>
  <c r="E20" i="12"/>
  <c r="D20" i="12"/>
  <c r="D33" i="11"/>
  <c r="D35" i="11"/>
  <c r="D40" i="11" s="1"/>
  <c r="L25" i="10"/>
  <c r="L28" i="10"/>
  <c r="E41" i="10" s="1"/>
  <c r="L26" i="10"/>
  <c r="D41" i="10" s="1"/>
  <c r="L27" i="10"/>
  <c r="C41" i="10" s="1"/>
  <c r="K29" i="8"/>
  <c r="K30" i="8" s="1"/>
  <c r="I52" i="7"/>
  <c r="H53" i="7"/>
  <c r="G67" i="9"/>
  <c r="H66" i="9"/>
  <c r="F48" i="9"/>
  <c r="E54" i="9"/>
  <c r="H44" i="8"/>
  <c r="G45" i="8"/>
  <c r="J20" i="8"/>
  <c r="J29" i="8"/>
  <c r="F35" i="8"/>
  <c r="F30" i="8"/>
  <c r="G35" i="8"/>
  <c r="G30" i="8"/>
  <c r="I35" i="8"/>
  <c r="I30" i="8"/>
  <c r="H35" i="8"/>
  <c r="H30" i="8"/>
  <c r="K20" i="8"/>
  <c r="K29" i="7"/>
  <c r="K30" i="7" s="1"/>
  <c r="F29" i="7"/>
  <c r="F30" i="7" s="1"/>
  <c r="F20" i="7"/>
  <c r="H30" i="7"/>
  <c r="G30" i="7"/>
  <c r="H36" i="7"/>
  <c r="H38" i="7"/>
  <c r="H39" i="7" s="1"/>
  <c r="I35" i="7"/>
  <c r="G36" i="7"/>
  <c r="G38" i="7"/>
  <c r="G39" i="7" s="1"/>
  <c r="D85" i="6"/>
  <c r="C85" i="6"/>
  <c r="F8" i="6"/>
  <c r="F45" i="6" s="1"/>
  <c r="D45" i="6"/>
  <c r="C45" i="6"/>
  <c r="D90" i="6"/>
  <c r="D20" i="6"/>
  <c r="D22" i="6" s="1"/>
  <c r="D23" i="6" s="1"/>
  <c r="C63" i="6"/>
  <c r="C80" i="6" s="1"/>
  <c r="C20" i="6"/>
  <c r="C22" i="6" s="1"/>
  <c r="C28" i="6" s="1"/>
  <c r="D13" i="6"/>
  <c r="E89" i="6"/>
  <c r="E20" i="6"/>
  <c r="D89" i="6"/>
  <c r="D19" i="7"/>
  <c r="F90" i="6"/>
  <c r="C19" i="7"/>
  <c r="F89" i="6"/>
  <c r="F45" i="7" s="1"/>
  <c r="F35" i="7"/>
  <c r="J30" i="7"/>
  <c r="J35" i="7"/>
  <c r="E15" i="7"/>
  <c r="J93" i="6"/>
  <c r="I93" i="6"/>
  <c r="J100" i="6"/>
  <c r="I100" i="6"/>
  <c r="I99" i="6"/>
  <c r="I73" i="6"/>
  <c r="I79" i="6" s="1"/>
  <c r="G80" i="6"/>
  <c r="H99" i="6"/>
  <c r="H92" i="6"/>
  <c r="J91" i="6"/>
  <c r="G89" i="6"/>
  <c r="J57" i="6"/>
  <c r="I57" i="6"/>
  <c r="I89" i="6" s="1"/>
  <c r="H63" i="6"/>
  <c r="H80" i="6" s="1"/>
  <c r="H89" i="6"/>
  <c r="H90" i="6"/>
  <c r="G90" i="6"/>
  <c r="F63" i="6"/>
  <c r="F80" i="6" s="1"/>
  <c r="J50" i="6"/>
  <c r="I50" i="6"/>
  <c r="I90" i="6" s="1"/>
  <c r="G87" i="6"/>
  <c r="G23" i="6"/>
  <c r="G28" i="6"/>
  <c r="E56" i="9" s="1"/>
  <c r="J23" i="6"/>
  <c r="J28" i="6"/>
  <c r="H56" i="9" s="1"/>
  <c r="J87" i="6"/>
  <c r="I87" i="6"/>
  <c r="I28" i="6"/>
  <c r="G56" i="9" s="1"/>
  <c r="I23" i="6"/>
  <c r="F28" i="6"/>
  <c r="D56" i="9" s="1"/>
  <c r="D58" i="9" s="1"/>
  <c r="D59" i="9" s="1"/>
  <c r="F87" i="6"/>
  <c r="F23" i="6"/>
  <c r="H87" i="6"/>
  <c r="H23" i="6"/>
  <c r="H28" i="6"/>
  <c r="F56" i="9" s="1"/>
  <c r="E63" i="6"/>
  <c r="D63" i="6"/>
  <c r="D80" i="6" s="1"/>
  <c r="E90" i="6"/>
  <c r="D90" i="2"/>
  <c r="H89" i="2"/>
  <c r="E89" i="2"/>
  <c r="G13" i="2"/>
  <c r="E13" i="2"/>
  <c r="F90" i="2"/>
  <c r="E63" i="2"/>
  <c r="I89" i="2"/>
  <c r="I63" i="2"/>
  <c r="I80" i="2" s="1"/>
  <c r="G89" i="2"/>
  <c r="G90" i="2"/>
  <c r="F63" i="2"/>
  <c r="F80" i="2" s="1"/>
  <c r="F89" i="2"/>
  <c r="E90" i="2"/>
  <c r="D63" i="2"/>
  <c r="D80" i="2" s="1"/>
  <c r="C63" i="2"/>
  <c r="C80" i="2" s="1"/>
  <c r="G63" i="2"/>
  <c r="G80" i="2" s="1"/>
  <c r="H90" i="2"/>
  <c r="H63" i="2"/>
  <c r="H80" i="2" s="1"/>
  <c r="I90" i="2"/>
  <c r="D89" i="2"/>
  <c r="D22" i="2"/>
  <c r="D28" i="2" s="1"/>
  <c r="D35" i="2" s="1"/>
  <c r="D39" i="2" s="1"/>
  <c r="E80" i="2"/>
  <c r="E22" i="2"/>
  <c r="E87" i="2" s="1"/>
  <c r="F13" i="2"/>
  <c r="G22" i="2"/>
  <c r="D13" i="2"/>
  <c r="H13" i="2"/>
  <c r="C22" i="2"/>
  <c r="I13" i="2"/>
  <c r="I22" i="2"/>
  <c r="F22" i="2"/>
  <c r="H22" i="2"/>
  <c r="D47" i="11" l="1"/>
  <c r="F35" i="9"/>
  <c r="K32" i="8"/>
  <c r="K35" i="8" s="1"/>
  <c r="K36" i="8" s="1"/>
  <c r="F46" i="7"/>
  <c r="K46" i="7" s="1"/>
  <c r="K32" i="7" s="1"/>
  <c r="K44" i="7" s="1"/>
  <c r="E80" i="6"/>
  <c r="C10" i="9"/>
  <c r="C50" i="9"/>
  <c r="C52" i="9" s="1"/>
  <c r="C71" i="9" s="1"/>
  <c r="C27" i="7"/>
  <c r="C29" i="7" s="1"/>
  <c r="D27" i="7"/>
  <c r="D29" i="7" s="1"/>
  <c r="C27" i="8"/>
  <c r="C29" i="8" s="1"/>
  <c r="C30" i="8" s="1"/>
  <c r="E13" i="6"/>
  <c r="E22" i="6"/>
  <c r="E40" i="10" s="1"/>
  <c r="E42" i="10" s="1"/>
  <c r="E47" i="10" s="1"/>
  <c r="E29" i="8"/>
  <c r="E20" i="8"/>
  <c r="F20" i="8"/>
  <c r="D27" i="8"/>
  <c r="D29" i="8" s="1"/>
  <c r="C24" i="12"/>
  <c r="C54" i="12" s="1"/>
  <c r="C26" i="12"/>
  <c r="C56" i="12" s="1"/>
  <c r="C25" i="12"/>
  <c r="C55" i="12" s="1"/>
  <c r="G58" i="9"/>
  <c r="G59" i="9"/>
  <c r="G60" i="9" s="1"/>
  <c r="F58" i="9"/>
  <c r="F59" i="9"/>
  <c r="F60" i="9" s="1"/>
  <c r="H58" i="9"/>
  <c r="H59" i="9" s="1"/>
  <c r="H60" i="9" s="1"/>
  <c r="I56" i="9"/>
  <c r="D60" i="9"/>
  <c r="D62" i="9" s="1"/>
  <c r="D69" i="9" s="1"/>
  <c r="E58" i="9"/>
  <c r="E59" i="9" s="1"/>
  <c r="E60" i="9" s="1"/>
  <c r="E62" i="9" s="1"/>
  <c r="E64" i="9" s="1"/>
  <c r="E69" i="9" s="1"/>
  <c r="E25" i="12"/>
  <c r="F55" i="12" s="1"/>
  <c r="E24" i="12"/>
  <c r="F54" i="12" s="1"/>
  <c r="E26" i="12"/>
  <c r="F56" i="12" s="1"/>
  <c r="J52" i="7"/>
  <c r="J53" i="7" s="1"/>
  <c r="I53" i="7"/>
  <c r="I39" i="8"/>
  <c r="H67" i="9"/>
  <c r="I66" i="9"/>
  <c r="G48" i="9"/>
  <c r="F54" i="9"/>
  <c r="F62" i="9"/>
  <c r="I36" i="8"/>
  <c r="I38" i="8"/>
  <c r="J35" i="8"/>
  <c r="J30" i="8"/>
  <c r="H38" i="8"/>
  <c r="H39" i="8" s="1"/>
  <c r="H36" i="8"/>
  <c r="F38" i="8"/>
  <c r="F39" i="8" s="1"/>
  <c r="F36" i="8"/>
  <c r="I44" i="8"/>
  <c r="H45" i="8"/>
  <c r="G38" i="8"/>
  <c r="G39" i="8" s="1"/>
  <c r="G36" i="8"/>
  <c r="H40" i="7"/>
  <c r="H42" i="7" s="1"/>
  <c r="H50" i="7" s="1"/>
  <c r="H55" i="7" s="1"/>
  <c r="G40" i="7"/>
  <c r="G42" i="7" s="1"/>
  <c r="G50" i="7" s="1"/>
  <c r="G55" i="7" s="1"/>
  <c r="I36" i="7"/>
  <c r="I38" i="7"/>
  <c r="I39" i="7" s="1"/>
  <c r="J36" i="7"/>
  <c r="J38" i="7"/>
  <c r="J39" i="7" s="1"/>
  <c r="F36" i="7"/>
  <c r="F38" i="7"/>
  <c r="F39" i="7" s="1"/>
  <c r="F85" i="6"/>
  <c r="G8" i="6"/>
  <c r="H8" i="6" s="1"/>
  <c r="D28" i="6"/>
  <c r="D29" i="6" s="1"/>
  <c r="C23" i="6"/>
  <c r="E30" i="7"/>
  <c r="E35" i="7"/>
  <c r="D87" i="6"/>
  <c r="D96" i="6" s="1"/>
  <c r="F96" i="6"/>
  <c r="E20" i="7"/>
  <c r="D20" i="7"/>
  <c r="C20" i="7"/>
  <c r="F15" i="7"/>
  <c r="J73" i="6"/>
  <c r="J79" i="6" s="1"/>
  <c r="J99" i="6"/>
  <c r="J63" i="6"/>
  <c r="I92" i="6"/>
  <c r="I96" i="6" s="1"/>
  <c r="J89" i="6"/>
  <c r="H96" i="6"/>
  <c r="G96" i="6"/>
  <c r="J90" i="6"/>
  <c r="I63" i="6"/>
  <c r="I80" i="6" s="1"/>
  <c r="J35" i="6"/>
  <c r="J39" i="6" s="1"/>
  <c r="J29" i="6"/>
  <c r="I29" i="6"/>
  <c r="I35" i="6"/>
  <c r="I39" i="6" s="1"/>
  <c r="H29" i="6"/>
  <c r="H35" i="6"/>
  <c r="H39" i="6" s="1"/>
  <c r="F35" i="6"/>
  <c r="F39" i="6" s="1"/>
  <c r="F29" i="6"/>
  <c r="G29" i="6"/>
  <c r="G35" i="6"/>
  <c r="G39" i="6" s="1"/>
  <c r="C29" i="6"/>
  <c r="C35" i="6"/>
  <c r="C39" i="6" s="1"/>
  <c r="D40" i="2"/>
  <c r="D101" i="2"/>
  <c r="D103" i="2" s="1"/>
  <c r="E96" i="2"/>
  <c r="E23" i="2"/>
  <c r="E28" i="2"/>
  <c r="E29" i="2" s="1"/>
  <c r="C23" i="2"/>
  <c r="G28" i="2"/>
  <c r="G35" i="2" s="1"/>
  <c r="G39" i="2" s="1"/>
  <c r="G87" i="2"/>
  <c r="F28" i="2"/>
  <c r="F29" i="2" s="1"/>
  <c r="F87" i="2"/>
  <c r="D23" i="2"/>
  <c r="D87" i="2"/>
  <c r="D96" i="2" s="1"/>
  <c r="H28" i="2"/>
  <c r="H35" i="2" s="1"/>
  <c r="H39" i="2" s="1"/>
  <c r="H87" i="2"/>
  <c r="I23" i="2"/>
  <c r="I87" i="2"/>
  <c r="I96" i="2" s="1"/>
  <c r="C28" i="2"/>
  <c r="C29" i="2" s="1"/>
  <c r="H23" i="2"/>
  <c r="G23" i="2"/>
  <c r="F23" i="2"/>
  <c r="I28" i="2"/>
  <c r="I29" i="2" s="1"/>
  <c r="D29" i="2"/>
  <c r="K35" i="7" l="1"/>
  <c r="K36" i="7" s="1"/>
  <c r="E23" i="6"/>
  <c r="D40" i="10"/>
  <c r="D42" i="10" s="1"/>
  <c r="D47" i="10" s="1"/>
  <c r="D14" i="12" s="1"/>
  <c r="C40" i="10"/>
  <c r="C42" i="10" s="1"/>
  <c r="C47" i="10" s="1"/>
  <c r="C14" i="12" s="1"/>
  <c r="E87" i="6"/>
  <c r="E96" i="6" s="1"/>
  <c r="C13" i="12"/>
  <c r="E13" i="12"/>
  <c r="C17" i="9"/>
  <c r="C33" i="11"/>
  <c r="C35" i="11" s="1"/>
  <c r="C40" i="11" s="1"/>
  <c r="C15" i="12" s="1"/>
  <c r="E28" i="6"/>
  <c r="E35" i="6" s="1"/>
  <c r="E39" i="6" s="1"/>
  <c r="E101" i="6" s="1"/>
  <c r="E103" i="6" s="1"/>
  <c r="C35" i="8"/>
  <c r="E54" i="10"/>
  <c r="E40" i="12" s="1"/>
  <c r="F66" i="12" s="1"/>
  <c r="E14" i="12"/>
  <c r="F50" i="12" s="1"/>
  <c r="D35" i="8"/>
  <c r="D30" i="8"/>
  <c r="E30" i="8"/>
  <c r="E35" i="8"/>
  <c r="J56" i="9"/>
  <c r="I58" i="9"/>
  <c r="K38" i="8"/>
  <c r="K39" i="8" s="1"/>
  <c r="H40" i="8"/>
  <c r="H42" i="8" s="1"/>
  <c r="H47" i="8" s="1"/>
  <c r="J66" i="9"/>
  <c r="I67" i="9"/>
  <c r="F64" i="9"/>
  <c r="F69" i="9" s="1"/>
  <c r="H48" i="9"/>
  <c r="G54" i="9"/>
  <c r="G62" i="9"/>
  <c r="F40" i="8"/>
  <c r="F42" i="8" s="1"/>
  <c r="F47" i="8" s="1"/>
  <c r="I40" i="8"/>
  <c r="I42" i="8" s="1"/>
  <c r="G40" i="8"/>
  <c r="G42" i="8" s="1"/>
  <c r="G47" i="8" s="1"/>
  <c r="J44" i="8"/>
  <c r="J45" i="8" s="1"/>
  <c r="I45" i="8"/>
  <c r="J38" i="8"/>
  <c r="J39" i="8" s="1"/>
  <c r="J36" i="8"/>
  <c r="J40" i="7"/>
  <c r="J42" i="7" s="1"/>
  <c r="J50" i="7" s="1"/>
  <c r="J55" i="7" s="1"/>
  <c r="I40" i="7"/>
  <c r="I42" i="7" s="1"/>
  <c r="I50" i="7" s="1"/>
  <c r="I55" i="7" s="1"/>
  <c r="E36" i="7"/>
  <c r="E38" i="7"/>
  <c r="E39" i="7" s="1"/>
  <c r="F40" i="7"/>
  <c r="F42" i="7" s="1"/>
  <c r="F50" i="7" s="1"/>
  <c r="F55" i="7" s="1"/>
  <c r="G45" i="6"/>
  <c r="G85" i="6"/>
  <c r="D35" i="6"/>
  <c r="D39" i="6" s="1"/>
  <c r="D101" i="6" s="1"/>
  <c r="D103" i="6" s="1"/>
  <c r="D105" i="6" s="1"/>
  <c r="D106" i="6" s="1"/>
  <c r="C30" i="7"/>
  <c r="C35" i="7"/>
  <c r="I8" i="6"/>
  <c r="H85" i="6"/>
  <c r="H45" i="6"/>
  <c r="E35" i="2"/>
  <c r="E39" i="2" s="1"/>
  <c r="E101" i="2" s="1"/>
  <c r="E103" i="2" s="1"/>
  <c r="E105" i="2" s="1"/>
  <c r="E106" i="2" s="1"/>
  <c r="D35" i="7"/>
  <c r="D30" i="7"/>
  <c r="G15" i="7"/>
  <c r="J80" i="6"/>
  <c r="J92" i="6"/>
  <c r="J96" i="6" s="1"/>
  <c r="H101" i="6"/>
  <c r="H103" i="6" s="1"/>
  <c r="H105" i="6" s="1"/>
  <c r="H106" i="6" s="1"/>
  <c r="I101" i="6"/>
  <c r="I103" i="6" s="1"/>
  <c r="I105" i="6" s="1"/>
  <c r="I106" i="6" s="1"/>
  <c r="J101" i="6"/>
  <c r="J103" i="6" s="1"/>
  <c r="F101" i="6"/>
  <c r="F103" i="6" s="1"/>
  <c r="F105" i="6" s="1"/>
  <c r="F106" i="6" s="1"/>
  <c r="G101" i="6"/>
  <c r="G103" i="6" s="1"/>
  <c r="G105" i="6" s="1"/>
  <c r="G106" i="6" s="1"/>
  <c r="D105" i="2"/>
  <c r="D106" i="2" s="1"/>
  <c r="G40" i="2"/>
  <c r="G101" i="2"/>
  <c r="G103" i="2" s="1"/>
  <c r="H40" i="2"/>
  <c r="H101" i="2"/>
  <c r="H103" i="2" s="1"/>
  <c r="G96" i="2"/>
  <c r="G29" i="2"/>
  <c r="H96" i="2"/>
  <c r="F96" i="2"/>
  <c r="F35" i="2"/>
  <c r="F39" i="2" s="1"/>
  <c r="H29" i="2"/>
  <c r="C35" i="2"/>
  <c r="C39" i="2" s="1"/>
  <c r="C40" i="2" s="1"/>
  <c r="I35" i="2"/>
  <c r="I39" i="2" s="1"/>
  <c r="K38" i="7" l="1"/>
  <c r="K39" i="7" s="1"/>
  <c r="E105" i="6"/>
  <c r="E106" i="6" s="1"/>
  <c r="C54" i="10"/>
  <c r="C40" i="12" s="1"/>
  <c r="C66" i="12" s="1"/>
  <c r="D54" i="10"/>
  <c r="D40" i="12" s="1"/>
  <c r="E66" i="12" s="1"/>
  <c r="E50" i="12"/>
  <c r="E28" i="12"/>
  <c r="F58" i="12" s="1"/>
  <c r="C39" i="12"/>
  <c r="C65" i="12" s="1"/>
  <c r="E39" i="12"/>
  <c r="F65" i="12" s="1"/>
  <c r="F49" i="12"/>
  <c r="E27" i="12"/>
  <c r="F57" i="12" s="1"/>
  <c r="C27" i="12"/>
  <c r="C57" i="12" s="1"/>
  <c r="C49" i="12"/>
  <c r="D13" i="12"/>
  <c r="C47" i="11"/>
  <c r="E41" i="12" s="1"/>
  <c r="F67" i="12" s="1"/>
  <c r="E15" i="12"/>
  <c r="D15" i="12" s="1"/>
  <c r="E29" i="6"/>
  <c r="C36" i="8"/>
  <c r="C38" i="8"/>
  <c r="E38" i="8"/>
  <c r="E39" i="8" s="1"/>
  <c r="E40" i="8" s="1"/>
  <c r="E42" i="8" s="1"/>
  <c r="E36" i="8"/>
  <c r="D36" i="8"/>
  <c r="D38" i="8"/>
  <c r="D39" i="8" s="1"/>
  <c r="C50" i="12"/>
  <c r="C28" i="12"/>
  <c r="C58" i="12" s="1"/>
  <c r="D50" i="12"/>
  <c r="D28" i="12"/>
  <c r="C29" i="12"/>
  <c r="C59" i="12" s="1"/>
  <c r="C51" i="12"/>
  <c r="K56" i="9"/>
  <c r="J58" i="9"/>
  <c r="I59" i="9"/>
  <c r="I60" i="9" s="1"/>
  <c r="K40" i="8"/>
  <c r="K42" i="8" s="1"/>
  <c r="C52" i="8" s="1"/>
  <c r="C53" i="8" s="1"/>
  <c r="C54" i="8" s="1"/>
  <c r="G64" i="9"/>
  <c r="G69" i="9" s="1"/>
  <c r="K66" i="9"/>
  <c r="J67" i="9"/>
  <c r="I48" i="9"/>
  <c r="H54" i="9"/>
  <c r="H62" i="9"/>
  <c r="I47" i="8"/>
  <c r="C58" i="7"/>
  <c r="J40" i="8"/>
  <c r="J42" i="8" s="1"/>
  <c r="J47" i="8" s="1"/>
  <c r="E40" i="7"/>
  <c r="E42" i="7" s="1"/>
  <c r="D36" i="7"/>
  <c r="D38" i="7"/>
  <c r="D39" i="7" s="1"/>
  <c r="C36" i="7"/>
  <c r="C38" i="7"/>
  <c r="C39" i="7" s="1"/>
  <c r="E40" i="2"/>
  <c r="J8" i="6"/>
  <c r="I85" i="6"/>
  <c r="I45" i="6"/>
  <c r="H15" i="7"/>
  <c r="J105" i="6"/>
  <c r="J106" i="6" s="1"/>
  <c r="G105" i="2"/>
  <c r="G106" i="2" s="1"/>
  <c r="F40" i="2"/>
  <c r="F101" i="2"/>
  <c r="F103" i="2" s="1"/>
  <c r="F105" i="2" s="1"/>
  <c r="F106" i="2" s="1"/>
  <c r="I40" i="2"/>
  <c r="I101" i="2"/>
  <c r="I103" i="2" s="1"/>
  <c r="I105" i="2" s="1"/>
  <c r="I106" i="2" s="1"/>
  <c r="H105" i="2"/>
  <c r="H106" i="2" s="1"/>
  <c r="K40" i="7" l="1"/>
  <c r="K42" i="7" s="1"/>
  <c r="K50" i="7" s="1"/>
  <c r="C60" i="7" s="1"/>
  <c r="C61" i="7" s="1"/>
  <c r="C62" i="7" s="1"/>
  <c r="C66" i="7" s="1"/>
  <c r="D10" i="12" s="1"/>
  <c r="D66" i="12"/>
  <c r="D39" i="12"/>
  <c r="D65" i="12" s="1"/>
  <c r="E29" i="12"/>
  <c r="F51" i="12"/>
  <c r="E49" i="12"/>
  <c r="D27" i="12"/>
  <c r="D49" i="12"/>
  <c r="C41" i="12"/>
  <c r="C67" i="12" s="1"/>
  <c r="D58" i="12"/>
  <c r="C39" i="8"/>
  <c r="C40" i="8" s="1"/>
  <c r="C42" i="8" s="1"/>
  <c r="E58" i="12"/>
  <c r="F59" i="12"/>
  <c r="D29" i="12"/>
  <c r="D59" i="12" s="1"/>
  <c r="D51" i="12"/>
  <c r="D40" i="8"/>
  <c r="D42" i="8" s="1"/>
  <c r="E51" i="12"/>
  <c r="C50" i="8"/>
  <c r="C58" i="8" s="1"/>
  <c r="D11" i="12" s="1"/>
  <c r="L56" i="9"/>
  <c r="K58" i="9"/>
  <c r="K59" i="9" s="1"/>
  <c r="K60" i="9" s="1"/>
  <c r="J59" i="9"/>
  <c r="J60" i="9" s="1"/>
  <c r="L66" i="9"/>
  <c r="K67" i="9"/>
  <c r="H64" i="9"/>
  <c r="H69" i="9" s="1"/>
  <c r="J48" i="9"/>
  <c r="I54" i="9"/>
  <c r="I62" i="9"/>
  <c r="C40" i="7"/>
  <c r="C42" i="7" s="1"/>
  <c r="D40" i="7"/>
  <c r="D42" i="7" s="1"/>
  <c r="J85" i="6"/>
  <c r="J45" i="6"/>
  <c r="I15" i="7"/>
  <c r="E65" i="12" l="1"/>
  <c r="E57" i="12"/>
  <c r="D57" i="12"/>
  <c r="D41" i="12"/>
  <c r="D67" i="12" s="1"/>
  <c r="E67" i="12"/>
  <c r="E59" i="12"/>
  <c r="M56" i="9"/>
  <c r="M58" i="9" s="1"/>
  <c r="M59" i="9" s="1"/>
  <c r="M60" i="9" s="1"/>
  <c r="L58" i="9"/>
  <c r="L59" i="9" s="1"/>
  <c r="L60" i="9" s="1"/>
  <c r="D47" i="12"/>
  <c r="E47" i="12"/>
  <c r="D46" i="12"/>
  <c r="E46" i="12"/>
  <c r="D25" i="12"/>
  <c r="D24" i="12"/>
  <c r="I64" i="9"/>
  <c r="I69" i="9" s="1"/>
  <c r="C79" i="7"/>
  <c r="C85" i="7"/>
  <c r="C77" i="8"/>
  <c r="C71" i="8"/>
  <c r="M66" i="9"/>
  <c r="M67" i="9" s="1"/>
  <c r="L67" i="9"/>
  <c r="K48" i="9"/>
  <c r="J54" i="9"/>
  <c r="J62" i="9"/>
  <c r="J15" i="7"/>
  <c r="E55" i="12" l="1"/>
  <c r="D55" i="12"/>
  <c r="D54" i="12"/>
  <c r="E54" i="12"/>
  <c r="C86" i="8"/>
  <c r="D37" i="12"/>
  <c r="C94" i="7"/>
  <c r="D36" i="12"/>
  <c r="J64" i="9"/>
  <c r="J69" i="9" s="1"/>
  <c r="L48" i="9"/>
  <c r="K62" i="9"/>
  <c r="K54" i="9"/>
  <c r="D63" i="12" l="1"/>
  <c r="E63" i="12"/>
  <c r="D62" i="12"/>
  <c r="E62" i="12"/>
  <c r="K64" i="9"/>
  <c r="K69" i="9" s="1"/>
  <c r="M48" i="9"/>
  <c r="L62" i="9"/>
  <c r="L54" i="9"/>
  <c r="L64" i="9" l="1"/>
  <c r="L69" i="9" s="1"/>
  <c r="M62" i="9"/>
  <c r="M54" i="9"/>
  <c r="M64" i="9" l="1"/>
  <c r="M69" i="9" s="1"/>
  <c r="C72" i="9" s="1"/>
  <c r="C73" i="9" s="1"/>
  <c r="D12" i="12" s="1"/>
  <c r="E48" i="12" l="1"/>
  <c r="D48" i="12"/>
  <c r="D26" i="12"/>
  <c r="C80" i="9"/>
  <c r="C86" i="9"/>
  <c r="E56" i="12" l="1"/>
  <c r="D56" i="12"/>
  <c r="C95" i="9"/>
  <c r="D38" i="12"/>
  <c r="E64" i="12" l="1"/>
  <c r="D64" i="12"/>
</calcChain>
</file>

<file path=xl/sharedStrings.xml><?xml version="1.0" encoding="utf-8"?>
<sst xmlns="http://schemas.openxmlformats.org/spreadsheetml/2006/main" count="1192" uniqueCount="446">
  <si>
    <t>MEDIPASS S.R.L.</t>
  </si>
  <si>
    <t>Bilancio non consolidato</t>
  </si>
  <si>
    <t>31/12/2013
EUR</t>
  </si>
  <si>
    <t>31/12/2014
EUR</t>
  </si>
  <si>
    <t>31/12/2015
EUR</t>
  </si>
  <si>
    <t>31/12/2016
EUR</t>
  </si>
  <si>
    <t>31/12/2017
EUR</t>
  </si>
  <si>
    <t>31/12/2018
EUR</t>
  </si>
  <si>
    <t>31/12/2019
EUR</t>
  </si>
  <si>
    <t>12 mesi
Dettagliato
Origin. IFRS
ICS</t>
  </si>
  <si>
    <t>Attivo</t>
  </si>
  <si>
    <t>A. CREDITI VERSO SOCI</t>
  </si>
  <si>
    <t>Quota di capitale richiamata</t>
  </si>
  <si>
    <t>B. TOTALE IMMOBILIZZAZIONI sep.ind. Di quelle conc. In loc. Finanz.</t>
  </si>
  <si>
    <t>B.I. TOTALE IMMOB. IMMATERIALI</t>
  </si>
  <si>
    <t>B.I.1. Costi impianto e ampl.</t>
  </si>
  <si>
    <t>B.I.2. Costi ricerca e pubb.</t>
  </si>
  <si>
    <t>B.I.3. Diritti brevetto ind.</t>
  </si>
  <si>
    <t>B.I.4. Concessioni, licenze</t>
  </si>
  <si>
    <t>B.I.5. Avviamento/Differenza di consolidamento</t>
  </si>
  <si>
    <t>di cui: Avviamento</t>
  </si>
  <si>
    <t>B.I.6. Imm. in corso</t>
  </si>
  <si>
    <t>B.I.7. Altre immobiliz. Immateriali</t>
  </si>
  <si>
    <t>Fondo amm.to Immob. Immateriali</t>
  </si>
  <si>
    <t>B.II. TOTALE IMMOB. MATERIALI</t>
  </si>
  <si>
    <t>di cui: Beni materiali concessi in locazione finanziaria</t>
  </si>
  <si>
    <t>B.II.1. Terreni e fabbricati</t>
  </si>
  <si>
    <t>B.II.2. Impianti</t>
  </si>
  <si>
    <t>B.II.3. Attrez. industriali</t>
  </si>
  <si>
    <t>B.II.4. Altri beni</t>
  </si>
  <si>
    <t>B.II.5. Imm. in corso/acconti</t>
  </si>
  <si>
    <t>Fondo amm.to Immob. Materiali</t>
  </si>
  <si>
    <t>B.III. TOTALE IMMOB. FINANZIARIE</t>
  </si>
  <si>
    <t>di cui: esigibili entro l'esercizio successivo</t>
  </si>
  <si>
    <t>B.III.1. TOT Partecipazioni</t>
  </si>
  <si>
    <t>B.III.1.a. Imprese controllate</t>
  </si>
  <si>
    <t>B.III.1.b. Imprese collegate</t>
  </si>
  <si>
    <t>B.III.1.c. Imprese controllanti</t>
  </si>
  <si>
    <t>B.III.1.d. In imprese sottoposte al controllo delle controllanti</t>
  </si>
  <si>
    <t>B.III.1.d.bis. Altre imprese</t>
  </si>
  <si>
    <t>B.III.2. TOT CREDITI Imm. Fin.</t>
  </si>
  <si>
    <t>B.III.2.a. Cred. vs Controllate entro</t>
  </si>
  <si>
    <t>B.III.2.a. Cred. vs Controllate oltre</t>
  </si>
  <si>
    <t>B.III.2.b. Cred. vs Collegate entro</t>
  </si>
  <si>
    <t>B.III.2.b. Cred. vs Collegate oltre</t>
  </si>
  <si>
    <t>B.III.2.c. Cred. vs Controllanti entro</t>
  </si>
  <si>
    <t>B.III.2.c. Cred. vs Controllanti oltre</t>
  </si>
  <si>
    <t>B.III.2.d. Cred. vs imprese sottoposte al controllo delle controllanti entro</t>
  </si>
  <si>
    <t>B.III.2.d. Cred. vs imprese sottoposte al controllo delle controllanti oltre</t>
  </si>
  <si>
    <t>B.III.2.d.bis. Cred. vs Altri entro</t>
  </si>
  <si>
    <t>B.III.2.d.bis Cred. vs Altri oltre</t>
  </si>
  <si>
    <t>B.III. CREDITI FIN. A BREVE</t>
  </si>
  <si>
    <t>B.III. CREDITI FIN. A OLTRE</t>
  </si>
  <si>
    <t>B.III.3. Altri titoli</t>
  </si>
  <si>
    <t>B.III.3.bis. Azioni proprie</t>
  </si>
  <si>
    <t>B.III.4. Strumenti finanziari derivati attivi</t>
  </si>
  <si>
    <t>Azioni proprie DI CUI: Val nominale</t>
  </si>
  <si>
    <t>C. ATTIVO CIRCOLANTE</t>
  </si>
  <si>
    <t>C.I. TOTALE RIMANENZE</t>
  </si>
  <si>
    <t>C.I.1. Materie prime</t>
  </si>
  <si>
    <t>C.I.2. Prodotti semilav./in corso</t>
  </si>
  <si>
    <t>C.I.3. Lavori in corso</t>
  </si>
  <si>
    <t>C.I.4. Prodotti finiti</t>
  </si>
  <si>
    <t>C.I.5. Acconti</t>
  </si>
  <si>
    <t>Immobilizzazioni materiali destinate alla vendita</t>
  </si>
  <si>
    <t>C.II. TOTALE CREDITI</t>
  </si>
  <si>
    <t>C.II.1. Cred. vs Clienti entro</t>
  </si>
  <si>
    <t>C.II.1. Cred. vs Clienti oltre</t>
  </si>
  <si>
    <t>C.II.2. Cred. vs Controllate entro</t>
  </si>
  <si>
    <t>C.II.2. Cred. vs Controllate oltre</t>
  </si>
  <si>
    <t>C.II.3. Cred. vs Collegate entro</t>
  </si>
  <si>
    <t>C.II.3. Cred. vs Collegate oltre</t>
  </si>
  <si>
    <t>C.II.4. Cred. vs Controllanti entro</t>
  </si>
  <si>
    <t>C.II.4. Cred. vs Controllanti oltre</t>
  </si>
  <si>
    <t>C.II.5. Cred. vs imprese sottoposte al controllo delle controllanti entro</t>
  </si>
  <si>
    <t>C.II.5. Cred. vs imprese sottoposte al controllo delle controllanti oltre</t>
  </si>
  <si>
    <t>C.II.5.bis. Cred. tributari entro</t>
  </si>
  <si>
    <t>C.II.5.bis. Cred. tributari oltre</t>
  </si>
  <si>
    <t>C.II.5.ter. Cred. per imposte anticipate entro</t>
  </si>
  <si>
    <t>C.II.5.ter. Cred. per imposte anticipate oltre</t>
  </si>
  <si>
    <t>C.II.5.quater. Cred. verso altri entro</t>
  </si>
  <si>
    <t>C.II.5.quater. Cred. verso altri oltre</t>
  </si>
  <si>
    <t>C.II. Crediti a breve</t>
  </si>
  <si>
    <t>Crediti per imposte anticipate</t>
  </si>
  <si>
    <t>C.II. Crediti a oltre</t>
  </si>
  <si>
    <t>C.III. TOTALE ATTIVITA' FINANZIARIE</t>
  </si>
  <si>
    <t>C.III.1. Partec.ni in Controllate</t>
  </si>
  <si>
    <t>C.III.2. Partec.ni in Collegate</t>
  </si>
  <si>
    <t>C.III.3. Partec.ni in Controllanti</t>
  </si>
  <si>
    <t>C.III.3.bis. Partec.ni in imprese sottoposte al controllo delle controllanti</t>
  </si>
  <si>
    <t>C.III.4. Altre Partec.ni</t>
  </si>
  <si>
    <t>C.III.4.bis. Azioni proprie</t>
  </si>
  <si>
    <t>C.III.5. Strumenti finanziari derivati attivi</t>
  </si>
  <si>
    <t>C.III.6. Altri titoli</t>
  </si>
  <si>
    <t>C.III.7. Attività finanziarie per la gestione accentrata della tesoreria</t>
  </si>
  <si>
    <t>C.IV. TOT. DISPON. LIQUIDE</t>
  </si>
  <si>
    <t>C.IV.1. Depositi bancari</t>
  </si>
  <si>
    <t>C.IV.2. Assegni</t>
  </si>
  <si>
    <t>C.IV.3. Denaro in cassa</t>
  </si>
  <si>
    <t>D. RATEI E RISCONTI</t>
  </si>
  <si>
    <t>Disaggio su prestiti</t>
  </si>
  <si>
    <t>TOTALE ATTIVO</t>
  </si>
  <si>
    <t>Passivo</t>
  </si>
  <si>
    <t>PATRIMONIO NETTO</t>
  </si>
  <si>
    <t>A. TOTALE PATRIMONIO NETTO</t>
  </si>
  <si>
    <t>A.I. Capitale sociale</t>
  </si>
  <si>
    <t>di cui: Versamenti soci in c/capitale</t>
  </si>
  <si>
    <t>di cui: Versamenti in c/futuro aumento di capitale</t>
  </si>
  <si>
    <t>di cui: Versamenti in c/capitale</t>
  </si>
  <si>
    <t>di cui: Versamenti a copertura perdite</t>
  </si>
  <si>
    <t>A.II. Riserva da sovrapprezzo</t>
  </si>
  <si>
    <t>A.III. Riserva di rivalutazione</t>
  </si>
  <si>
    <t>A.IV. Riserva legale</t>
  </si>
  <si>
    <t>A.V. Riserva statutaria</t>
  </si>
  <si>
    <t>Riserva azioni proprie</t>
  </si>
  <si>
    <t>A.VI. Altre riserve</t>
  </si>
  <si>
    <t>Riserva da cons. del Gruppo</t>
  </si>
  <si>
    <t>A.VII. Riserva per operazioni di copertura dei flussi finanziari attesi</t>
  </si>
  <si>
    <t>A.VIII. Utile/perdita a nuovo</t>
  </si>
  <si>
    <t>A.IX. Utile/perdita di esercizio</t>
  </si>
  <si>
    <t>Acconto dividendi</t>
  </si>
  <si>
    <t>Copertura parziale perdita di esercizio</t>
  </si>
  <si>
    <t>A.X. Riserva negativa per azioni proprie in portafoglio (+/-)</t>
  </si>
  <si>
    <t>TOTALE PATRIMONIO DEL GRUPPO</t>
  </si>
  <si>
    <t>Capitale e riserve di pertinenza di TERZI</t>
  </si>
  <si>
    <t>di cui: per imposte differite</t>
  </si>
  <si>
    <t>Utile/perdita di es. di pertinenza di TERZI</t>
  </si>
  <si>
    <t>TOTALE PATRIMONIO DI TERZI</t>
  </si>
  <si>
    <t>B. TOTALE FONDI RISCHI</t>
  </si>
  <si>
    <t>B.1. Fondo di Quiescenza</t>
  </si>
  <si>
    <t>B.2. Fondo Imposte anche differite</t>
  </si>
  <si>
    <t>B.3. Strumenti finanziari derivati passivi</t>
  </si>
  <si>
    <t>B.4. Altri Fondi</t>
  </si>
  <si>
    <t>di cui : fondo di consolidamento</t>
  </si>
  <si>
    <t>C. TRATTAMENTO DI FINE RAPPORTO</t>
  </si>
  <si>
    <t>Debiti</t>
  </si>
  <si>
    <t>D. TOTALE DEBITI</t>
  </si>
  <si>
    <t>D.1. Obblig.ni entro</t>
  </si>
  <si>
    <t>D.1. Obblig.ni oltre</t>
  </si>
  <si>
    <t>D.2. Obblig.ni convert. entro</t>
  </si>
  <si>
    <t>D.2. Obblig.ni convert. oltre.</t>
  </si>
  <si>
    <t>D.3. Soci per Finanziamenti entro</t>
  </si>
  <si>
    <t>D.3. Soci per Finanziamenti oltre</t>
  </si>
  <si>
    <t>D.4. Banche entro l'esercizio</t>
  </si>
  <si>
    <t>D.4. Banche oltre l'esercizio</t>
  </si>
  <si>
    <t>D.5. Altri finanziatori entro</t>
  </si>
  <si>
    <t>D.5. Altri finanziatori oltre</t>
  </si>
  <si>
    <t>D.6. Acconti entro</t>
  </si>
  <si>
    <t>D.6. Acconti oltre</t>
  </si>
  <si>
    <t>D.7. Fornitori entro</t>
  </si>
  <si>
    <t>D.7. Fornitori oltre</t>
  </si>
  <si>
    <t>D.8. Titoli di credito entro</t>
  </si>
  <si>
    <t>D.8. Titoli di credito oltre</t>
  </si>
  <si>
    <t>D.9. Imprese Controllate entro</t>
  </si>
  <si>
    <t>D.9. Imprese Controllate oltre</t>
  </si>
  <si>
    <t>D.10. Imprese Collegate entro</t>
  </si>
  <si>
    <t>D.10. Imprese Collegate oltre</t>
  </si>
  <si>
    <t>D.11. Controllanti entro</t>
  </si>
  <si>
    <t>D.11. Controllanti oltre</t>
  </si>
  <si>
    <t>D.11.bis. Debiti VS imprese sottoposte al controllo delle controllanti entro</t>
  </si>
  <si>
    <t>D.11.bis. Debiti VS imprese sottoposte al controllo delle controllanti oltre</t>
  </si>
  <si>
    <t>D.12. Debiti Tributari entro</t>
  </si>
  <si>
    <t>D.12. Debiti Tributari oltre</t>
  </si>
  <si>
    <t>D.13. Istituti previdenza entro</t>
  </si>
  <si>
    <t>D.13. Istituti previdenza oltre</t>
  </si>
  <si>
    <t>D.14. Altri Debiti entro</t>
  </si>
  <si>
    <t>D.14. Altri Debiti oltre</t>
  </si>
  <si>
    <t>D. DEBITI A BREVE</t>
  </si>
  <si>
    <t>D. DEBITI A OLTRE</t>
  </si>
  <si>
    <t>Total debiti entro l'esercizio</t>
  </si>
  <si>
    <t>Total debiti oltre l'esercizio</t>
  </si>
  <si>
    <t>E. RATEI E RISCONTI</t>
  </si>
  <si>
    <t>Aggio sui prestiti</t>
  </si>
  <si>
    <t>TOTALE PASSIVO</t>
  </si>
  <si>
    <t>TOTALE CONTI D'ORDINE</t>
  </si>
  <si>
    <t>n.s.</t>
  </si>
  <si>
    <t>Garanzie prestate</t>
  </si>
  <si>
    <t>CONTO ECONOMICO</t>
  </si>
  <si>
    <t>A. TOT. VAL. DELLA PRODUZIONE</t>
  </si>
  <si>
    <t>A.1. Ricavi vendite e prestazioni</t>
  </si>
  <si>
    <t>A.2. Var. rimanenze prodotti</t>
  </si>
  <si>
    <t>A.3. Variazione lavori</t>
  </si>
  <si>
    <t>A.2. + A.3. Totale Variazioni</t>
  </si>
  <si>
    <t>A.4. Incrementi di immob.</t>
  </si>
  <si>
    <t>A.5. Altri ricavi</t>
  </si>
  <si>
    <t>Contributi in conto esercizio</t>
  </si>
  <si>
    <t>B. COSTI DELLA PRODUZIONE</t>
  </si>
  <si>
    <t>B.6. Materie prime e consumo</t>
  </si>
  <si>
    <t>B.7. Servizi</t>
  </si>
  <si>
    <t>B.8. Godimento beni di terzi</t>
  </si>
  <si>
    <t>B.9. Totale costi del personale</t>
  </si>
  <si>
    <t>B.9.a. Salari e stipendi</t>
  </si>
  <si>
    <t>B.9.b. Oneri sociali</t>
  </si>
  <si>
    <t>B.9.c. Tratt. fine rapporto</t>
  </si>
  <si>
    <t>B.9.d. Tratt. di quiescenza</t>
  </si>
  <si>
    <t>B.9.e. Altri costi</t>
  </si>
  <si>
    <t>B.9.f. TFR + quiescenza + altri costi</t>
  </si>
  <si>
    <t>B.10. TOT Ammortamenti e svalut.</t>
  </si>
  <si>
    <t>B.10.a. Amm. Immob. Immat.</t>
  </si>
  <si>
    <t>B.10.b. Amm. Immob. Mat.</t>
  </si>
  <si>
    <t>B.10.c. Altre svalut. Immob.</t>
  </si>
  <si>
    <t>B.10.a+b+c. Amm. e svalut. delle immob.</t>
  </si>
  <si>
    <t>B.10.d. Svalut. crediti</t>
  </si>
  <si>
    <t>B.11. Variazione materie</t>
  </si>
  <si>
    <t>B.12. Accantonamenti per rischi</t>
  </si>
  <si>
    <t>B.13. Altri accantonamenti</t>
  </si>
  <si>
    <t>B.14. Oneri diversi di gestione</t>
  </si>
  <si>
    <t>RISULTATO OPERATIVO</t>
  </si>
  <si>
    <t>Valore Aggiunto</t>
  </si>
  <si>
    <t>C. TOTALE PROVENTI E ONERI FINANZIARI</t>
  </si>
  <si>
    <t>C.15. Tot. proventi da partecip.</t>
  </si>
  <si>
    <t>di cui: verso contr.anti, collegate, contr.te e sottoposte ctrl controllanti</t>
  </si>
  <si>
    <t>di cui: da imprese controllanti</t>
  </si>
  <si>
    <t>di cui: da imprese sottoposte al controllo delle controllanti</t>
  </si>
  <si>
    <t>C.16. TOT Altri Proventi</t>
  </si>
  <si>
    <t>C.16.a. Da Crediti</t>
  </si>
  <si>
    <t>C.16.b. Da titoli iscr. imm.</t>
  </si>
  <si>
    <t>C.16.c. Da titoli iscr. att.circol.</t>
  </si>
  <si>
    <t>C.16.b+c. Proventi da Titoli</t>
  </si>
  <si>
    <t>C.16.d. Proventi fin. Diversi</t>
  </si>
  <si>
    <t>di cui: verso contr.anti, collegate, contr.te e sottoposte ctrl controllantil</t>
  </si>
  <si>
    <t>C.17. Totale Oneri finanziari</t>
  </si>
  <si>
    <t>C.17.bis Utili e perdite su cambi</t>
  </si>
  <si>
    <t>D. TOTALE RETTIFICHE ATT. FINANZ.</t>
  </si>
  <si>
    <t>D.18. TOT Rivalutazioni</t>
  </si>
  <si>
    <t>D.18.a. Rivalut. di partec.</t>
  </si>
  <si>
    <t>D.18.b. Rivalut. di altre imm. fin.</t>
  </si>
  <si>
    <t>D.18.c. Rivalut. di titoli</t>
  </si>
  <si>
    <t>D.18.d. Rivalut. di strumenti finanziari derivati</t>
  </si>
  <si>
    <t>Rivalut. di attività finanziarie per la gestione accentrata della tesoreria</t>
  </si>
  <si>
    <t>D.19. TOT Svalutazioni</t>
  </si>
  <si>
    <t>D.19.a. Svalut. di partec.</t>
  </si>
  <si>
    <t>D.19.b. Svalut. di altre imm. fin.</t>
  </si>
  <si>
    <t>D.19.c. Svalut. di titoli</t>
  </si>
  <si>
    <t>D.19.d. Svalut. di strumenti finanziari derivati</t>
  </si>
  <si>
    <t>Svalut. di attività finanziarie per la gestione accentrata della tesoreria</t>
  </si>
  <si>
    <t>TOTALE PROVENTI/ONERI STRAORDINARI</t>
  </si>
  <si>
    <t>Proventi Straordinari</t>
  </si>
  <si>
    <t>di cui plusvalenze</t>
  </si>
  <si>
    <t>Oneri Straordinari</t>
  </si>
  <si>
    <t>di cui minusvalenze</t>
  </si>
  <si>
    <t>di cui imposte esercizio precedente</t>
  </si>
  <si>
    <t>RISULTATO PRIMA DELLE IMPOSTE</t>
  </si>
  <si>
    <t>20. Totale Imposte sul reddito correnti, differite e anticipate</t>
  </si>
  <si>
    <t>Imposte correnti</t>
  </si>
  <si>
    <t>Imposte relative a esercizi precedenti</t>
  </si>
  <si>
    <t>Imposte differite e anticipate</t>
  </si>
  <si>
    <t>Imposte differite (+/-)</t>
  </si>
  <si>
    <t>Imposte anticipate (+/-)</t>
  </si>
  <si>
    <t>Prov. (oneri) da adesione al regime di trasparenza fiscale</t>
  </si>
  <si>
    <t>21. UTILE/PERDITA DI ESERCIZIO</t>
  </si>
  <si>
    <t>UTILE/PERDITA DI ESERCIZIO di pert. di TERZI</t>
  </si>
  <si>
    <t>UTILE/PERDITA DI ESERCIZIO di pert. del GRUPPO</t>
  </si>
  <si>
    <t>Dipendenti</t>
  </si>
  <si>
    <t>Intangible assets</t>
  </si>
  <si>
    <t>Goodwill</t>
  </si>
  <si>
    <t>Tangible assets</t>
  </si>
  <si>
    <t>Intercompany accounts</t>
  </si>
  <si>
    <t>Cash and cash equivalents</t>
  </si>
  <si>
    <t>TFR</t>
  </si>
  <si>
    <t>D&amp;A</t>
  </si>
  <si>
    <t>Impairment of assets</t>
  </si>
  <si>
    <t>Actual data</t>
  </si>
  <si>
    <t>Profit &amp; Loss</t>
  </si>
  <si>
    <t>EBITDA</t>
  </si>
  <si>
    <t>EBIT</t>
  </si>
  <si>
    <t>Net result</t>
  </si>
  <si>
    <t>Check</t>
  </si>
  <si>
    <t>EUR/000</t>
  </si>
  <si>
    <t>Balance sheet</t>
  </si>
  <si>
    <t>Cash flow statement</t>
  </si>
  <si>
    <t>Capex</t>
  </si>
  <si>
    <t>Operating cash flow</t>
  </si>
  <si>
    <t>Financing</t>
  </si>
  <si>
    <t>Taxation</t>
  </si>
  <si>
    <t>Equity movements</t>
  </si>
  <si>
    <t>Discounted cash flow</t>
  </si>
  <si>
    <t>Control panel</t>
  </si>
  <si>
    <t>WACC</t>
  </si>
  <si>
    <t>Period</t>
  </si>
  <si>
    <t>LT g rate</t>
  </si>
  <si>
    <t>IRES</t>
  </si>
  <si>
    <t>IRAP</t>
  </si>
  <si>
    <t>NOPAT</t>
  </si>
  <si>
    <t>D&amp;A add-back</t>
  </si>
  <si>
    <t>Free cash flows</t>
  </si>
  <si>
    <t>Discount factor</t>
  </si>
  <si>
    <t>Discounted FCF</t>
  </si>
  <si>
    <t>∑ of Discounted FCF</t>
  </si>
  <si>
    <t>TV</t>
  </si>
  <si>
    <t>Terminal flow</t>
  </si>
  <si>
    <t>Undiscounted TV</t>
  </si>
  <si>
    <t>Terminal Value</t>
  </si>
  <si>
    <t>Enterprise Value</t>
  </si>
  <si>
    <t>Bridge to Equity</t>
  </si>
  <si>
    <t>Equity Value</t>
  </si>
  <si>
    <t>Income method</t>
  </si>
  <si>
    <t>Patrimoniale semplice</t>
  </si>
  <si>
    <t>Patrimoniale complesso</t>
  </si>
  <si>
    <t>Storno valori contabili</t>
  </si>
  <si>
    <t>Fair value</t>
  </si>
  <si>
    <t>2019
Adj.</t>
  </si>
  <si>
    <t>Valore contabile impianti periziati</t>
  </si>
  <si>
    <t>Fair value asset periziati</t>
  </si>
  <si>
    <t>Metodo misto unlevered (EVA)</t>
  </si>
  <si>
    <t>Fair value adjustment</t>
  </si>
  <si>
    <t>Theoretical return</t>
  </si>
  <si>
    <t>Excess earnings</t>
  </si>
  <si>
    <t>Excess earning period</t>
  </si>
  <si>
    <t>Discounted Excess earnings</t>
  </si>
  <si>
    <t>Discounted NOPAT</t>
  </si>
  <si>
    <t>∑ of Discounted NOPAT</t>
  </si>
  <si>
    <t>∑ of Discounted Excess earnings</t>
  </si>
  <si>
    <t>Enterprise value</t>
  </si>
  <si>
    <t>Metodi patrimoniali e misti</t>
  </si>
  <si>
    <t>Transacion multiples</t>
  </si>
  <si>
    <t>Deal value</t>
  </si>
  <si>
    <t>Purchase price</t>
  </si>
  <si>
    <t>Equity stake</t>
  </si>
  <si>
    <t>Equity value</t>
  </si>
  <si>
    <t>Deal 1</t>
  </si>
  <si>
    <t>GAAP</t>
  </si>
  <si>
    <t>Deal 2</t>
  </si>
  <si>
    <t>Deal 3</t>
  </si>
  <si>
    <t>Deal 4</t>
  </si>
  <si>
    <t>Deal 5</t>
  </si>
  <si>
    <t>Deal 6</t>
  </si>
  <si>
    <t>Deal 7</t>
  </si>
  <si>
    <t>Deal 8</t>
  </si>
  <si>
    <t>Deal 9</t>
  </si>
  <si>
    <t>Deal 10</t>
  </si>
  <si>
    <t>Deal 11</t>
  </si>
  <si>
    <t>Deal 12</t>
  </si>
  <si>
    <t>Deal 13</t>
  </si>
  <si>
    <t>Deal 14</t>
  </si>
  <si>
    <t>Deal 15</t>
  </si>
  <si>
    <t>Deal date</t>
  </si>
  <si>
    <t>Y/N</t>
  </si>
  <si>
    <t>IFRS</t>
  </si>
  <si>
    <t>Implied equity value</t>
  </si>
  <si>
    <t>EBITDA multiple</t>
  </si>
  <si>
    <t>Y</t>
  </si>
  <si>
    <t>N</t>
  </si>
  <si>
    <t>ITA GAAP</t>
  </si>
  <si>
    <t>Average</t>
  </si>
  <si>
    <t>Median</t>
  </si>
  <si>
    <t>1st quartile</t>
  </si>
  <si>
    <t>3rd quartile</t>
  </si>
  <si>
    <t>Filters</t>
  </si>
  <si>
    <t>1. EBITDA positivo</t>
  </si>
  <si>
    <t>2. IFRS</t>
  </si>
  <si>
    <t>3. Successivi a 2015</t>
  </si>
  <si>
    <t>Transaction panel</t>
  </si>
  <si>
    <t>Transaction multiple valuation</t>
  </si>
  <si>
    <t>EBITDA 2019</t>
  </si>
  <si>
    <t>EV/EBITDA</t>
  </si>
  <si>
    <t>NWC adjustment</t>
  </si>
  <si>
    <t>Adjusted Enterprise Value</t>
  </si>
  <si>
    <t>Source: MergerMarket</t>
  </si>
  <si>
    <t>Min</t>
  </si>
  <si>
    <t>Center</t>
  </si>
  <si>
    <t>Max</t>
  </si>
  <si>
    <t>Sensitivity analysis  |  Enterprise Value</t>
  </si>
  <si>
    <t>Sensitivity analysis  |  Equity Value</t>
  </si>
  <si>
    <t>Peers panel</t>
  </si>
  <si>
    <t>Peers</t>
  </si>
  <si>
    <t>Comp 1</t>
  </si>
  <si>
    <t>Comp 2</t>
  </si>
  <si>
    <t>Comp 3</t>
  </si>
  <si>
    <t>Comp 4</t>
  </si>
  <si>
    <t>Comp 5</t>
  </si>
  <si>
    <t>Comp 6</t>
  </si>
  <si>
    <t>Comp 7</t>
  </si>
  <si>
    <t>Comp 8</t>
  </si>
  <si>
    <t>Comp 9</t>
  </si>
  <si>
    <t>Comp 10</t>
  </si>
  <si>
    <t>Comp 11</t>
  </si>
  <si>
    <t>Comp 12</t>
  </si>
  <si>
    <t>Comp 13</t>
  </si>
  <si>
    <t>Comp 14</t>
  </si>
  <si>
    <t>Comp 15</t>
  </si>
  <si>
    <t>EV / EBITDA 2019</t>
  </si>
  <si>
    <t>EV / EBITDA 2020</t>
  </si>
  <si>
    <t>Synthesis of results</t>
  </si>
  <si>
    <t>Centre</t>
  </si>
  <si>
    <t>Discounted Cash Flow</t>
  </si>
  <si>
    <t>EVA</t>
  </si>
  <si>
    <t>Metodi patrimoniali</t>
  </si>
  <si>
    <t>Transaction multiples</t>
  </si>
  <si>
    <t>Market multiples</t>
  </si>
  <si>
    <t>EBITDA 2020</t>
  </si>
  <si>
    <t>Charts  |  EV</t>
  </si>
  <si>
    <t>Football field  |  Enterprise Value</t>
  </si>
  <si>
    <t>Charts  |  EV/EBITDA</t>
  </si>
  <si>
    <t>Football field  |  EV / EBITDA</t>
  </si>
  <si>
    <t>Football field  |  Equity Value</t>
  </si>
  <si>
    <t>Charts  |  Equity value</t>
  </si>
  <si>
    <t>Ricavi</t>
  </si>
  <si>
    <t>Altri Ricavi</t>
  </si>
  <si>
    <t>Costo delle materie prime</t>
  </si>
  <si>
    <t>Variazione materie prime</t>
  </si>
  <si>
    <t>Costi operativi</t>
  </si>
  <si>
    <t>Costo del personale</t>
  </si>
  <si>
    <t>Oneri diversi di gestione</t>
  </si>
  <si>
    <t>Costi per servizi</t>
  </si>
  <si>
    <t xml:space="preserve"> Mapping</t>
  </si>
  <si>
    <t xml:space="preserve"> </t>
  </si>
  <si>
    <t>Valore della produzione</t>
  </si>
  <si>
    <t>Accantonamenti</t>
  </si>
  <si>
    <t>% Ricavi</t>
  </si>
  <si>
    <t>Imposte figurative</t>
  </si>
  <si>
    <t>YoY Delta</t>
  </si>
  <si>
    <t>Delta in NWC</t>
  </si>
  <si>
    <t>Delta in altre attività/passività</t>
  </si>
  <si>
    <t>Delta in financial attività/passività</t>
  </si>
  <si>
    <t>Delta in cash and cash equivalents</t>
  </si>
  <si>
    <t>Fondi</t>
  </si>
  <si>
    <t>Passività finanziarie</t>
  </si>
  <si>
    <t>Passività finanziarie - IC</t>
  </si>
  <si>
    <t>Attività finanziarie</t>
  </si>
  <si>
    <t>Attività finanziarie - IC</t>
  </si>
  <si>
    <t>Partecipazioni</t>
  </si>
  <si>
    <t>Delta in Partecipazioni</t>
  </si>
  <si>
    <t>Posizione finanziaria netta</t>
  </si>
  <si>
    <t>(+/-) Posizione finanziaria netta</t>
  </si>
  <si>
    <t>Proiezioni</t>
  </si>
  <si>
    <t>Altri ricavi</t>
  </si>
  <si>
    <t>Capitale investito netto</t>
  </si>
  <si>
    <t>Adjusted Capitale investito netto</t>
  </si>
  <si>
    <t>(+/-) Partecipazioni</t>
  </si>
  <si>
    <t>(+/-) Imposte differite</t>
  </si>
  <si>
    <t>Imposte differite</t>
  </si>
  <si>
    <t>Attivo fisso</t>
  </si>
  <si>
    <t>Capitale circolante netto</t>
  </si>
  <si>
    <t>Attività/passività non correnti</t>
  </si>
  <si>
    <t>altre PFN adjustments</t>
  </si>
  <si>
    <t>Proventi/(oneri) finanziari</t>
  </si>
  <si>
    <t>Costi straordinari</t>
  </si>
  <si>
    <t>EBT</t>
  </si>
  <si>
    <t>Imposte</t>
  </si>
  <si>
    <t>RImanenze</t>
  </si>
  <si>
    <t>Crediti commerciali</t>
  </si>
  <si>
    <t>Debiti commerciali</t>
  </si>
  <si>
    <t>Altre attività/passività correnti</t>
  </si>
  <si>
    <t>Patrimonio netto</t>
  </si>
  <si>
    <t>Fonti di finanziamento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</si>
</sst>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* #,##0_);_(* \(#,##0\);_(* &quot;-&quot;_);@_)"/>
    <numFmt numFmtId="165" formatCode="0.0%"/>
    <numFmt numFmtId="166" formatCode="0.0%_);\(0.0%\)"/>
    <numFmt numFmtId="167" formatCode="###,##0"/>
    <numFmt numFmtId="168" formatCode="0&quot;A&quot;"/>
    <numFmt numFmtId="169" formatCode="0&quot;F&quot;"/>
    <numFmt numFmtId="170" formatCode="0&quot;BP&quot;"/>
    <numFmt numFmtId="171" formatCode="_(* #,##0.0_);_(* \(#,##0.0\);_(* &quot;-&quot;_);@_)"/>
    <numFmt numFmtId="172" formatCode="_-* #,##0.0\ _€_-;\-* #,##0.0\ _€_-;_-* &quot;-&quot;?\ _€_-;_-@_-"/>
    <numFmt numFmtId="173" formatCode="_(* #,##0.00_);_(* \(#,##0.00\);_(* &quot;-&quot;_);@_)"/>
    <numFmt numFmtId="174" formatCode="0&quot;P&quot;"/>
    <numFmt numFmtId="175" formatCode="#,##0.0&quot;x&quot;;&quot;n.m.&quot;"/>
  </numFmts>
  <fonts count="41" x14ac:knownFonts="1"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 tint="0.34998626667073579"/>
      <name val="Calibri Light"/>
      <family val="2"/>
      <scheme val="major"/>
    </font>
    <font>
      <sz val="9"/>
      <color theme="1" tint="0.34998626667073579"/>
      <name val="Calibri Light"/>
      <family val="2"/>
      <scheme val="major"/>
    </font>
    <font>
      <b/>
      <sz val="9"/>
      <color theme="1" tint="0.34998626667073579"/>
      <name val="Calibri Light"/>
      <family val="2"/>
      <scheme val="major"/>
    </font>
    <font>
      <sz val="9"/>
      <color rgb="FF9C0006"/>
      <name val="Arial"/>
      <family val="2"/>
    </font>
    <font>
      <b/>
      <sz val="9"/>
      <color rgb="FFFA7D00"/>
      <name val="Arial"/>
      <family val="2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7F7F7F"/>
      <name val="Calibri"/>
      <family val="2"/>
      <scheme val="minor"/>
    </font>
    <font>
      <sz val="9"/>
      <color rgb="FF006100"/>
      <name val="Arial"/>
      <family val="2"/>
    </font>
    <font>
      <b/>
      <sz val="9"/>
      <color theme="3"/>
      <name val="Arial"/>
      <family val="2"/>
    </font>
    <font>
      <b/>
      <sz val="9"/>
      <color theme="3"/>
      <name val="Calibri Light"/>
      <family val="2"/>
      <scheme val="major"/>
    </font>
    <font>
      <sz val="9"/>
      <color theme="3"/>
      <name val="Calibri Light"/>
      <family val="2"/>
      <scheme val="major"/>
    </font>
    <font>
      <sz val="9"/>
      <color rgb="FF3F3F76"/>
      <name val="Calibri"/>
      <family val="2"/>
      <scheme val="minor"/>
    </font>
    <font>
      <sz val="9"/>
      <color rgb="FFFA7D00"/>
      <name val="Calibri"/>
      <family val="2"/>
      <scheme val="minor"/>
    </font>
    <font>
      <sz val="9"/>
      <color rgb="FF9C6500"/>
      <name val="Arial"/>
      <family val="2"/>
    </font>
    <font>
      <b/>
      <sz val="9"/>
      <color rgb="FF3F3F3F"/>
      <name val="Calibri"/>
      <family val="2"/>
      <scheme val="minor"/>
    </font>
    <font>
      <b/>
      <sz val="9"/>
      <color theme="4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3"/>
      <name val="Calibri Light"/>
      <family val="2"/>
      <scheme val="major"/>
    </font>
    <font>
      <b/>
      <sz val="9"/>
      <color theme="1"/>
      <name val="Calibri Light"/>
      <family val="2"/>
      <scheme val="major"/>
    </font>
    <font>
      <b/>
      <sz val="12"/>
      <color theme="3"/>
      <name val="Calibri Light"/>
      <family val="2"/>
      <scheme val="major"/>
    </font>
    <font>
      <b/>
      <sz val="10.5"/>
      <color rgb="FF003366"/>
      <name val="Verdana"/>
      <family val="2"/>
    </font>
    <font>
      <sz val="8.5"/>
      <color rgb="FF003366"/>
      <name val="Verdana"/>
      <family val="2"/>
    </font>
    <font>
      <sz val="8.5"/>
      <color rgb="FF333333"/>
      <name val="Verdana"/>
      <family val="2"/>
    </font>
    <font>
      <b/>
      <sz val="8.5"/>
      <color rgb="FF333333"/>
      <name val="Verdana"/>
      <family val="2"/>
    </font>
    <font>
      <sz val="8.5"/>
      <color rgb="FF000000"/>
      <name val="Verdana"/>
      <family val="2"/>
    </font>
    <font>
      <i/>
      <sz val="9"/>
      <color theme="1" tint="0.34998626667073579"/>
      <name val="Calibri Light"/>
      <family val="2"/>
      <scheme val="major"/>
    </font>
    <font>
      <i/>
      <sz val="7"/>
      <color rgb="FFFF0000"/>
      <name val="Calibri Light"/>
      <family val="2"/>
      <scheme val="major"/>
    </font>
    <font>
      <sz val="9"/>
      <color rgb="FF0000FF"/>
      <name val="Calibri Light"/>
      <family val="2"/>
      <scheme val="major"/>
    </font>
    <font>
      <b/>
      <sz val="9"/>
      <color rgb="FF0000FF"/>
      <name val="Calibri Light"/>
      <family val="2"/>
      <scheme val="major"/>
    </font>
    <font>
      <b/>
      <sz val="9"/>
      <color theme="0" tint="-4.9989318521683403E-2"/>
      <name val="Calibri Light"/>
      <family val="2"/>
      <scheme val="major"/>
    </font>
    <font>
      <b/>
      <sz val="9"/>
      <color theme="0"/>
      <name val="Calibri Light"/>
      <family val="2"/>
      <scheme val="major"/>
    </font>
    <font>
      <sz val="8"/>
      <name val="Calibri"/>
      <family val="2"/>
      <scheme val="minor"/>
    </font>
    <font>
      <sz val="7"/>
      <color theme="1" tint="0.34998626667073579"/>
      <name val="Calibri Light"/>
      <family val="2"/>
      <scheme val="major"/>
    </font>
    <font>
      <b/>
      <sz val="9"/>
      <color theme="0" tint="-0.34998626667073579"/>
      <name val="Calibri Light"/>
      <family val="2"/>
      <scheme val="major"/>
    </font>
    <font>
      <sz val="9"/>
      <color theme="0" tint="-0.34998626667073579"/>
      <name val="Calibri Light"/>
      <family val="2"/>
      <scheme val="major"/>
    </font>
    <font>
      <b/>
      <sz val="12"/>
      <color theme="1" tint="0.34998626667073579"/>
      <name val="Calibri Light"/>
      <family val="2"/>
      <scheme val="major"/>
    </font>
  </fonts>
  <fills count="2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FCD4B6"/>
        <bgColor indexed="64"/>
      </patternFill>
    </fill>
    <fill>
      <patternFill patternType="solid">
        <fgColor rgb="FFE8E6DF"/>
        <bgColor indexed="64"/>
      </patternFill>
    </fill>
    <fill>
      <patternFill patternType="solid">
        <fgColor rgb="FFFFFFFF"/>
      </patternFill>
    </fill>
    <fill>
      <patternFill patternType="solid">
        <fgColor rgb="FFD1D6DC"/>
      </patternFill>
    </fill>
    <fill>
      <patternFill patternType="solid">
        <fgColor rgb="FFFFFFFF"/>
        <bgColor indexed="64"/>
      </patternFill>
    </fill>
    <fill>
      <patternFill patternType="solid">
        <fgColor rgb="FFE4ECF6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thin">
        <color theme="4"/>
      </bottom>
      <diagonal/>
    </border>
    <border>
      <left/>
      <right/>
      <top style="medium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medium">
        <color theme="4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/>
      <diagonal/>
    </border>
    <border>
      <left/>
      <right/>
      <top/>
      <bottom style="thin">
        <color theme="0" tint="-0.14999847407452621"/>
      </bottom>
      <diagonal/>
    </border>
    <border>
      <left/>
      <right/>
      <top/>
      <bottom style="thin">
        <color theme="3"/>
      </bottom>
      <diagonal/>
    </border>
    <border>
      <left/>
      <right/>
      <top/>
      <bottom style="medium">
        <color theme="3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/>
      <top style="thin">
        <color theme="0" tint="-0.249977111117893"/>
      </top>
      <bottom style="thin">
        <color theme="3"/>
      </bottom>
      <diagonal/>
    </border>
  </borders>
  <cellStyleXfs count="30">
    <xf numFmtId="164" fontId="0" fillId="0" borderId="0"/>
    <xf numFmtId="165" fontId="1" fillId="0" borderId="0" applyFont="0" applyFill="0" applyBorder="0" applyAlignment="0" applyProtection="0"/>
    <xf numFmtId="49" fontId="22" fillId="0" borderId="0" applyAlignment="0" applyProtection="0"/>
    <xf numFmtId="49" fontId="11" fillId="0" borderId="6" applyFill="0" applyProtection="0">
      <alignment horizontal="right" wrapText="1"/>
    </xf>
    <xf numFmtId="49" fontId="12" fillId="0" borderId="0" applyProtection="0">
      <alignment wrapText="1"/>
    </xf>
    <xf numFmtId="49" fontId="13" fillId="0" borderId="7" applyFill="0" applyProtection="0">
      <alignment horizontal="right" wrapText="1"/>
    </xf>
    <xf numFmtId="49" fontId="13" fillId="0" borderId="0" applyProtection="0">
      <alignment wrapText="1"/>
    </xf>
    <xf numFmtId="0" fontId="10" fillId="2" borderId="0" applyNumberFormat="0" applyBorder="0" applyAlignment="0" applyProtection="0"/>
    <xf numFmtId="0" fontId="5" fillId="3" borderId="0" applyNumberFormat="0" applyBorder="0" applyAlignment="0" applyProtection="0"/>
    <xf numFmtId="0" fontId="16" fillId="4" borderId="0" applyNumberFormat="0" applyBorder="0" applyAlignment="0" applyProtection="0"/>
    <xf numFmtId="0" fontId="14" fillId="5" borderId="1" applyNumberFormat="0" applyAlignment="0" applyProtection="0"/>
    <xf numFmtId="0" fontId="17" fillId="6" borderId="2" applyNumberFormat="0" applyAlignment="0" applyProtection="0"/>
    <xf numFmtId="0" fontId="6" fillId="6" borderId="1" applyNumberFormat="0" applyAlignment="0" applyProtection="0"/>
    <xf numFmtId="0" fontId="15" fillId="0" borderId="3" applyNumberFormat="0" applyFill="0" applyAlignment="0" applyProtection="0"/>
    <xf numFmtId="0" fontId="7" fillId="7" borderId="4" applyNumberFormat="0" applyAlignment="0" applyProtection="0"/>
    <xf numFmtId="0" fontId="8" fillId="8" borderId="5" applyNumberFormat="0" applyAlignment="0" applyProtection="0"/>
    <xf numFmtId="0" fontId="9" fillId="0" borderId="0" applyNumberFormat="0" applyFill="0" applyBorder="0" applyAlignment="0" applyProtection="0"/>
    <xf numFmtId="0" fontId="23" fillId="0" borderId="10" applyNumberFormat="0" applyFill="0" applyAlignment="0" applyProtection="0"/>
    <xf numFmtId="164" fontId="18" fillId="0" borderId="0" applyNumberFormat="0" applyFill="0" applyBorder="0" applyAlignment="0" applyProtection="0"/>
    <xf numFmtId="164" fontId="8" fillId="9" borderId="0" applyNumberFormat="0" applyFont="0" applyBorder="0" applyAlignment="0" applyProtection="0"/>
    <xf numFmtId="0" fontId="8" fillId="0" borderId="0" applyFill="0" applyBorder="0" applyProtection="0"/>
    <xf numFmtId="164" fontId="8" fillId="10" borderId="0" applyNumberFormat="0" applyFont="0" applyBorder="0" applyAlignment="0" applyProtection="0"/>
    <xf numFmtId="166" fontId="8" fillId="0" borderId="0" applyFill="0" applyBorder="0" applyAlignment="0" applyProtection="0"/>
    <xf numFmtId="0" fontId="19" fillId="0" borderId="0" applyNumberFormat="0" applyAlignment="0" applyProtection="0"/>
    <xf numFmtId="0" fontId="18" fillId="0" borderId="6" applyFill="0" applyProtection="0">
      <alignment horizontal="left" wrapText="1"/>
    </xf>
    <xf numFmtId="0" fontId="18" fillId="0" borderId="0" applyFill="0" applyProtection="0">
      <alignment wrapText="1"/>
    </xf>
    <xf numFmtId="0" fontId="18" fillId="0" borderId="8" applyFill="0" applyProtection="0">
      <alignment wrapText="1"/>
    </xf>
    <xf numFmtId="164" fontId="20" fillId="0" borderId="9" applyNumberFormat="0" applyFill="0" applyAlignment="0" applyProtection="0"/>
    <xf numFmtId="0" fontId="21" fillId="0" borderId="0" applyAlignment="0" applyProtection="0"/>
    <xf numFmtId="0" fontId="20" fillId="0" borderId="10" applyNumberFormat="0" applyFill="0" applyAlignment="0" applyProtection="0"/>
  </cellStyleXfs>
  <cellXfs count="129">
    <xf numFmtId="164" fontId="0" fillId="0" borderId="0" xfId="0"/>
    <xf numFmtId="164" fontId="2" fillId="0" borderId="0" xfId="0" applyFont="1"/>
    <xf numFmtId="164" fontId="3" fillId="0" borderId="0" xfId="0" applyFont="1"/>
    <xf numFmtId="164" fontId="4" fillId="0" borderId="0" xfId="0" applyFont="1"/>
    <xf numFmtId="164" fontId="12" fillId="0" borderId="0" xfId="0" applyFont="1"/>
    <xf numFmtId="0" fontId="3" fillId="0" borderId="0" xfId="0" applyNumberFormat="1" applyFont="1"/>
    <xf numFmtId="0" fontId="24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164" fontId="25" fillId="11" borderId="0" xfId="0" applyFont="1" applyFill="1" applyAlignment="1">
      <alignment vertical="top" wrapText="1"/>
    </xf>
    <xf numFmtId="164" fontId="0" fillId="11" borderId="0" xfId="0" applyFill="1"/>
    <xf numFmtId="164" fontId="0" fillId="6" borderId="11" xfId="0" applyFill="1" applyBorder="1"/>
    <xf numFmtId="164" fontId="26" fillId="6" borderId="11" xfId="0" applyFont="1" applyFill="1" applyBorder="1" applyAlignment="1">
      <alignment horizontal="left" vertical="top" wrapText="1"/>
    </xf>
    <xf numFmtId="164" fontId="27" fillId="6" borderId="11" xfId="0" applyFont="1" applyFill="1" applyBorder="1" applyAlignment="1">
      <alignment horizontal="right" vertical="top" wrapText="1"/>
    </xf>
    <xf numFmtId="164" fontId="0" fillId="11" borderId="11" xfId="0" applyFill="1" applyBorder="1"/>
    <xf numFmtId="164" fontId="27" fillId="11" borderId="11" xfId="0" applyFont="1" applyFill="1" applyBorder="1" applyAlignment="1">
      <alignment horizontal="right" vertical="top" wrapText="1"/>
    </xf>
    <xf numFmtId="164" fontId="0" fillId="12" borderId="11" xfId="0" applyFill="1" applyBorder="1"/>
    <xf numFmtId="164" fontId="28" fillId="12" borderId="11" xfId="0" applyFont="1" applyFill="1" applyBorder="1" applyAlignment="1">
      <alignment horizontal="left" vertical="top" wrapText="1"/>
    </xf>
    <xf numFmtId="164" fontId="29" fillId="11" borderId="11" xfId="0" applyFont="1" applyFill="1" applyBorder="1" applyAlignment="1">
      <alignment horizontal="left" vertical="top" wrapText="1"/>
    </xf>
    <xf numFmtId="167" fontId="27" fillId="11" borderId="11" xfId="0" applyNumberFormat="1" applyFont="1" applyFill="1" applyBorder="1" applyAlignment="1">
      <alignment horizontal="right" vertical="top"/>
    </xf>
    <xf numFmtId="167" fontId="27" fillId="13" borderId="11" xfId="0" applyNumberFormat="1" applyFont="1" applyFill="1" applyBorder="1" applyAlignment="1">
      <alignment horizontal="right" vertical="top"/>
    </xf>
    <xf numFmtId="164" fontId="0" fillId="14" borderId="11" xfId="0" applyFill="1" applyBorder="1"/>
    <xf numFmtId="164" fontId="28" fillId="14" borderId="11" xfId="0" applyFont="1" applyFill="1" applyBorder="1" applyAlignment="1">
      <alignment horizontal="left" vertical="top" wrapText="1"/>
    </xf>
    <xf numFmtId="164" fontId="28" fillId="11" borderId="11" xfId="0" applyFont="1" applyFill="1" applyBorder="1" applyAlignment="1">
      <alignment horizontal="left" vertical="top" wrapText="1"/>
    </xf>
    <xf numFmtId="3" fontId="27" fillId="11" borderId="11" xfId="0" applyNumberFormat="1" applyFont="1" applyFill="1" applyBorder="1" applyAlignment="1">
      <alignment horizontal="right" vertical="top"/>
    </xf>
    <xf numFmtId="164" fontId="0" fillId="15" borderId="0" xfId="0" applyFill="1"/>
    <xf numFmtId="164" fontId="20" fillId="15" borderId="0" xfId="0" applyFont="1" applyFill="1"/>
    <xf numFmtId="0" fontId="12" fillId="0" borderId="6" xfId="0" applyNumberFormat="1" applyFont="1" applyBorder="1"/>
    <xf numFmtId="168" fontId="12" fillId="0" borderId="6" xfId="0" applyNumberFormat="1" applyFont="1" applyBorder="1"/>
    <xf numFmtId="0" fontId="4" fillId="0" borderId="12" xfId="0" applyNumberFormat="1" applyFont="1" applyBorder="1" applyAlignment="1">
      <alignment horizontal="left"/>
    </xf>
    <xf numFmtId="164" fontId="4" fillId="0" borderId="12" xfId="0" applyFont="1" applyBorder="1"/>
    <xf numFmtId="0" fontId="4" fillId="0" borderId="13" xfId="0" applyNumberFormat="1" applyFont="1" applyBorder="1" applyAlignment="1">
      <alignment horizontal="left"/>
    </xf>
    <xf numFmtId="164" fontId="4" fillId="0" borderId="13" xfId="0" applyFont="1" applyBorder="1"/>
    <xf numFmtId="166" fontId="30" fillId="0" borderId="0" xfId="0" applyNumberFormat="1" applyFont="1"/>
    <xf numFmtId="0" fontId="31" fillId="0" borderId="0" xfId="0" applyNumberFormat="1" applyFont="1" applyAlignment="1">
      <alignment horizontal="left"/>
    </xf>
    <xf numFmtId="164" fontId="31" fillId="0" borderId="0" xfId="0" applyFont="1"/>
    <xf numFmtId="0" fontId="4" fillId="16" borderId="0" xfId="0" applyNumberFormat="1" applyFont="1" applyFill="1" applyAlignment="1">
      <alignment horizontal="left"/>
    </xf>
    <xf numFmtId="164" fontId="4" fillId="16" borderId="0" xfId="0" applyFont="1" applyFill="1"/>
    <xf numFmtId="166" fontId="30" fillId="0" borderId="0" xfId="0" applyNumberFormat="1" applyFont="1" applyAlignment="1">
      <alignment horizontal="left"/>
    </xf>
    <xf numFmtId="166" fontId="30" fillId="0" borderId="0" xfId="0" applyNumberFormat="1" applyFont="1" applyAlignment="1">
      <alignment horizontal="right"/>
    </xf>
    <xf numFmtId="169" fontId="12" fillId="0" borderId="6" xfId="0" applyNumberFormat="1" applyFont="1" applyBorder="1"/>
    <xf numFmtId="170" fontId="12" fillId="0" borderId="6" xfId="0" applyNumberFormat="1" applyFont="1" applyBorder="1"/>
    <xf numFmtId="164" fontId="32" fillId="0" borderId="0" xfId="0" applyFont="1"/>
    <xf numFmtId="164" fontId="33" fillId="0" borderId="13" xfId="0" applyFont="1" applyBorder="1"/>
    <xf numFmtId="168" fontId="12" fillId="17" borderId="6" xfId="0" applyNumberFormat="1" applyFont="1" applyFill="1" applyBorder="1"/>
    <xf numFmtId="164" fontId="3" fillId="17" borderId="0" xfId="0" applyFont="1" applyFill="1"/>
    <xf numFmtId="164" fontId="4" fillId="17" borderId="13" xfId="0" applyFont="1" applyFill="1" applyBorder="1"/>
    <xf numFmtId="164" fontId="4" fillId="17" borderId="12" xfId="0" applyFont="1" applyFill="1" applyBorder="1"/>
    <xf numFmtId="166" fontId="30" fillId="17" borderId="0" xfId="0" applyNumberFormat="1" applyFont="1" applyFill="1" applyAlignment="1">
      <alignment horizontal="right"/>
    </xf>
    <xf numFmtId="166" fontId="30" fillId="17" borderId="0" xfId="0" applyNumberFormat="1" applyFont="1" applyFill="1"/>
    <xf numFmtId="164" fontId="4" fillId="18" borderId="0" xfId="0" applyFont="1" applyFill="1"/>
    <xf numFmtId="171" fontId="3" fillId="0" borderId="0" xfId="0" applyNumberFormat="1" applyFont="1"/>
    <xf numFmtId="173" fontId="3" fillId="0" borderId="0" xfId="0" applyNumberFormat="1" applyFont="1"/>
    <xf numFmtId="164" fontId="2" fillId="0" borderId="0" xfId="0" applyFont="1" applyAlignment="1">
      <alignment horizontal="right"/>
    </xf>
    <xf numFmtId="164" fontId="3" fillId="0" borderId="0" xfId="0" applyFont="1" applyAlignment="1">
      <alignment horizontal="right"/>
    </xf>
    <xf numFmtId="170" fontId="12" fillId="0" borderId="6" xfId="0" applyNumberFormat="1" applyFont="1" applyBorder="1" applyAlignment="1">
      <alignment horizontal="right"/>
    </xf>
    <xf numFmtId="164" fontId="4" fillId="0" borderId="13" xfId="0" applyFont="1" applyBorder="1" applyAlignment="1">
      <alignment horizontal="right"/>
    </xf>
    <xf numFmtId="164" fontId="4" fillId="0" borderId="12" xfId="0" applyFont="1" applyBorder="1" applyAlignment="1">
      <alignment horizontal="right"/>
    </xf>
    <xf numFmtId="164" fontId="4" fillId="0" borderId="0" xfId="0" applyFont="1" applyAlignment="1">
      <alignment horizontal="right"/>
    </xf>
    <xf numFmtId="0" fontId="34" fillId="19" borderId="0" xfId="0" applyNumberFormat="1" applyFont="1" applyFill="1" applyAlignment="1">
      <alignment horizontal="left"/>
    </xf>
    <xf numFmtId="164" fontId="34" fillId="19" borderId="0" xfId="0" applyFont="1" applyFill="1"/>
    <xf numFmtId="0" fontId="3" fillId="0" borderId="14" xfId="0" applyNumberFormat="1" applyFont="1" applyBorder="1" applyAlignment="1">
      <alignment horizontal="left"/>
    </xf>
    <xf numFmtId="171" fontId="32" fillId="0" borderId="14" xfId="0" applyNumberFormat="1" applyFont="1" applyBorder="1"/>
    <xf numFmtId="166" fontId="32" fillId="0" borderId="14" xfId="0" applyNumberFormat="1" applyFont="1" applyBorder="1"/>
    <xf numFmtId="0" fontId="3" fillId="0" borderId="15" xfId="0" applyNumberFormat="1" applyFont="1" applyBorder="1" applyAlignment="1">
      <alignment horizontal="left"/>
    </xf>
    <xf numFmtId="164" fontId="12" fillId="0" borderId="15" xfId="0" applyFont="1" applyBorder="1"/>
    <xf numFmtId="164" fontId="3" fillId="0" borderId="15" xfId="0" applyFont="1" applyBorder="1"/>
    <xf numFmtId="168" fontId="12" fillId="0" borderId="6" xfId="0" applyNumberFormat="1" applyFont="1" applyBorder="1" applyAlignment="1">
      <alignment horizontal="right"/>
    </xf>
    <xf numFmtId="168" fontId="12" fillId="0" borderId="6" xfId="0" applyNumberFormat="1" applyFont="1" applyBorder="1" applyAlignment="1">
      <alignment horizontal="right" wrapText="1"/>
    </xf>
    <xf numFmtId="174" fontId="12" fillId="0" borderId="6" xfId="0" applyNumberFormat="1" applyFont="1" applyBorder="1"/>
    <xf numFmtId="172" fontId="3" fillId="0" borderId="0" xfId="0" applyNumberFormat="1" applyFont="1"/>
    <xf numFmtId="0" fontId="3" fillId="0" borderId="0" xfId="0" applyNumberFormat="1" applyFont="1" applyAlignment="1">
      <alignment horizontal="left" indent="1"/>
    </xf>
    <xf numFmtId="166" fontId="32" fillId="0" borderId="0" xfId="0" applyNumberFormat="1" applyFont="1"/>
    <xf numFmtId="0" fontId="12" fillId="0" borderId="6" xfId="0" applyNumberFormat="1" applyFont="1" applyBorder="1" applyAlignment="1">
      <alignment horizontal="right" wrapText="1"/>
    </xf>
    <xf numFmtId="0" fontId="12" fillId="0" borderId="6" xfId="0" applyNumberFormat="1" applyFont="1" applyBorder="1" applyAlignment="1">
      <alignment horizontal="center" wrapText="1"/>
    </xf>
    <xf numFmtId="164" fontId="3" fillId="0" borderId="0" xfId="0" applyFont="1" applyAlignment="1">
      <alignment horizontal="center"/>
    </xf>
    <xf numFmtId="164" fontId="3" fillId="0" borderId="15" xfId="0" applyFont="1" applyBorder="1" applyAlignment="1">
      <alignment horizontal="center"/>
    </xf>
    <xf numFmtId="166" fontId="3" fillId="0" borderId="15" xfId="0" applyNumberFormat="1" applyFont="1" applyBorder="1"/>
    <xf numFmtId="0" fontId="2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center"/>
    </xf>
    <xf numFmtId="0" fontId="3" fillId="0" borderId="15" xfId="0" applyNumberFormat="1" applyFont="1" applyBorder="1" applyAlignment="1">
      <alignment horizontal="center"/>
    </xf>
    <xf numFmtId="0" fontId="35" fillId="19" borderId="6" xfId="0" applyNumberFormat="1" applyFont="1" applyFill="1" applyBorder="1" applyAlignment="1">
      <alignment horizontal="right" wrapText="1"/>
    </xf>
    <xf numFmtId="164" fontId="4" fillId="17" borderId="15" xfId="0" applyFont="1" applyFill="1" applyBorder="1"/>
    <xf numFmtId="175" fontId="3" fillId="0" borderId="15" xfId="0" applyNumberFormat="1" applyFont="1" applyBorder="1"/>
    <xf numFmtId="175" fontId="4" fillId="17" borderId="15" xfId="0" applyNumberFormat="1" applyFont="1" applyFill="1" applyBorder="1"/>
    <xf numFmtId="175" fontId="4" fillId="17" borderId="15" xfId="0" applyNumberFormat="1" applyFont="1" applyFill="1" applyBorder="1" applyAlignment="1">
      <alignment horizontal="right"/>
    </xf>
    <xf numFmtId="164" fontId="33" fillId="17" borderId="15" xfId="0" applyFont="1" applyFill="1" applyBorder="1" applyAlignment="1">
      <alignment horizontal="center"/>
    </xf>
    <xf numFmtId="164" fontId="3" fillId="0" borderId="16" xfId="0" applyFont="1" applyBorder="1"/>
    <xf numFmtId="0" fontId="3" fillId="0" borderId="16" xfId="0" applyNumberFormat="1" applyFont="1" applyBorder="1" applyAlignment="1">
      <alignment horizontal="center"/>
    </xf>
    <xf numFmtId="0" fontId="4" fillId="0" borderId="16" xfId="0" applyNumberFormat="1" applyFont="1" applyBorder="1" applyAlignment="1">
      <alignment horizontal="left"/>
    </xf>
    <xf numFmtId="0" fontId="3" fillId="0" borderId="17" xfId="0" applyNumberFormat="1" applyFont="1" applyBorder="1" applyAlignment="1">
      <alignment horizontal="left"/>
    </xf>
    <xf numFmtId="164" fontId="3" fillId="0" borderId="17" xfId="0" applyFont="1" applyBorder="1" applyAlignment="1">
      <alignment horizontal="center"/>
    </xf>
    <xf numFmtId="0" fontId="3" fillId="0" borderId="17" xfId="0" applyNumberFormat="1" applyFont="1" applyBorder="1" applyAlignment="1">
      <alignment horizontal="center"/>
    </xf>
    <xf numFmtId="164" fontId="3" fillId="0" borderId="17" xfId="0" applyFont="1" applyBorder="1"/>
    <xf numFmtId="166" fontId="3" fillId="0" borderId="17" xfId="0" applyNumberFormat="1" applyFont="1" applyBorder="1"/>
    <xf numFmtId="164" fontId="4" fillId="17" borderId="17" xfId="0" applyFont="1" applyFill="1" applyBorder="1"/>
    <xf numFmtId="175" fontId="4" fillId="17" borderId="17" xfId="0" applyNumberFormat="1" applyFont="1" applyFill="1" applyBorder="1" applyAlignment="1">
      <alignment horizontal="right"/>
    </xf>
    <xf numFmtId="164" fontId="33" fillId="17" borderId="17" xfId="0" applyFont="1" applyFill="1" applyBorder="1" applyAlignment="1">
      <alignment horizontal="center"/>
    </xf>
    <xf numFmtId="164" fontId="3" fillId="0" borderId="18" xfId="0" applyFont="1" applyBorder="1"/>
    <xf numFmtId="0" fontId="12" fillId="0" borderId="0" xfId="0" applyNumberFormat="1" applyFont="1" applyAlignment="1">
      <alignment horizontal="left"/>
    </xf>
    <xf numFmtId="164" fontId="37" fillId="0" borderId="0" xfId="0" applyFont="1" applyAlignment="1">
      <alignment horizontal="right"/>
    </xf>
    <xf numFmtId="164" fontId="32" fillId="17" borderId="0" xfId="0" applyFont="1" applyFill="1"/>
    <xf numFmtId="164" fontId="3" fillId="0" borderId="19" xfId="0" applyFont="1" applyBorder="1"/>
    <xf numFmtId="164" fontId="3" fillId="0" borderId="20" xfId="0" applyFont="1" applyBorder="1"/>
    <xf numFmtId="166" fontId="4" fillId="0" borderId="21" xfId="0" applyNumberFormat="1" applyFont="1" applyBorder="1"/>
    <xf numFmtId="164" fontId="4" fillId="0" borderId="22" xfId="0" applyFont="1" applyBorder="1"/>
    <xf numFmtId="166" fontId="4" fillId="0" borderId="13" xfId="0" applyNumberFormat="1" applyFont="1" applyBorder="1"/>
    <xf numFmtId="164" fontId="4" fillId="20" borderId="0" xfId="0" applyFont="1" applyFill="1"/>
    <xf numFmtId="165" fontId="2" fillId="0" borderId="0" xfId="1" applyFont="1"/>
    <xf numFmtId="175" fontId="4" fillId="0" borderId="17" xfId="0" applyNumberFormat="1" applyFont="1" applyBorder="1" applyAlignment="1">
      <alignment horizontal="right"/>
    </xf>
    <xf numFmtId="175" fontId="4" fillId="0" borderId="0" xfId="0" applyNumberFormat="1" applyFont="1" applyAlignment="1">
      <alignment horizontal="right"/>
    </xf>
    <xf numFmtId="175" fontId="4" fillId="0" borderId="16" xfId="0" applyNumberFormat="1" applyFont="1" applyBorder="1" applyAlignment="1">
      <alignment horizontal="right"/>
    </xf>
    <xf numFmtId="0" fontId="3" fillId="0" borderId="23" xfId="0" applyNumberFormat="1" applyFont="1" applyBorder="1" applyAlignment="1">
      <alignment horizontal="left"/>
    </xf>
    <xf numFmtId="175" fontId="4" fillId="0" borderId="23" xfId="0" applyNumberFormat="1" applyFont="1" applyBorder="1" applyAlignment="1">
      <alignment horizontal="right"/>
    </xf>
    <xf numFmtId="0" fontId="12" fillId="0" borderId="6" xfId="0" applyNumberFormat="1" applyFont="1" applyBorder="1" applyAlignment="1">
      <alignment horizontal="right"/>
    </xf>
    <xf numFmtId="175" fontId="3" fillId="0" borderId="17" xfId="0" applyNumberFormat="1" applyFont="1" applyBorder="1"/>
    <xf numFmtId="0" fontId="4" fillId="0" borderId="6" xfId="0" applyNumberFormat="1" applyFont="1" applyBorder="1" applyAlignment="1">
      <alignment horizontal="left"/>
    </xf>
    <xf numFmtId="0" fontId="38" fillId="0" borderId="0" xfId="0" applyNumberFormat="1" applyFont="1" applyAlignment="1">
      <alignment horizontal="left"/>
    </xf>
    <xf numFmtId="164" fontId="39" fillId="0" borderId="0" xfId="0" applyFont="1"/>
    <xf numFmtId="0" fontId="39" fillId="0" borderId="0" xfId="0" applyNumberFormat="1" applyFont="1" applyAlignment="1">
      <alignment horizontal="left"/>
    </xf>
    <xf numFmtId="171" fontId="39" fillId="0" borderId="0" xfId="0" applyNumberFormat="1" applyFont="1"/>
    <xf numFmtId="175" fontId="4" fillId="17" borderId="17" xfId="0" applyNumberFormat="1" applyFont="1" applyFill="1" applyBorder="1"/>
    <xf numFmtId="175" fontId="3" fillId="0" borderId="0" xfId="0" applyNumberFormat="1" applyFont="1" applyAlignment="1">
      <alignment horizontal="right"/>
    </xf>
    <xf numFmtId="168" fontId="35" fillId="19" borderId="6" xfId="0" applyNumberFormat="1" applyFont="1" applyFill="1" applyBorder="1" applyAlignment="1">
      <alignment horizontal="right" wrapText="1"/>
    </xf>
    <xf numFmtId="164" fontId="40" fillId="0" borderId="0" xfId="0" applyFont="1"/>
    <xf numFmtId="175" fontId="39" fillId="0" borderId="0" xfId="0" applyNumberFormat="1" applyFont="1" applyAlignment="1">
      <alignment horizontal="left"/>
    </xf>
    <xf numFmtId="175" fontId="39" fillId="0" borderId="0" xfId="0" applyNumberFormat="1" applyFont="1"/>
    <xf numFmtId="0" fontId="4" fillId="0" borderId="0" xfId="0" applyNumberFormat="1" applyFont="1" applyAlignment="1">
      <alignment horizontal="right" textRotation="90"/>
    </xf>
  </cellXfs>
  <cellStyles count="30">
    <cellStyle name="Calcolo" xfId="12" builtinId="22" customBuiltin="1"/>
    <cellStyle name="Cella collegata" xfId="13" builtinId="24" customBuiltin="1"/>
    <cellStyle name="Cella da controllare" xfId="14" builtinId="23" customBuiltin="1"/>
    <cellStyle name="Input" xfId="10" builtinId="20" customBuiltin="1"/>
    <cellStyle name="Neutrale" xfId="9" builtinId="28" customBuiltin="1"/>
    <cellStyle name="Normale" xfId="0" builtinId="0" customBuiltin="1"/>
    <cellStyle name="Nota" xfId="15" builtinId="10" customBuiltin="1"/>
    <cellStyle name="Output" xfId="11" builtinId="21" customBuiltin="1"/>
    <cellStyle name="Percentuale" xfId="1" builtinId="5" customBuiltin="1"/>
    <cellStyle name="Smart Bold" xfId="18" xr:uid="{D3D5E220-B361-4030-BC16-27E0F804F173}"/>
    <cellStyle name="Smart Forecast" xfId="19" xr:uid="{37D7E245-25B0-4A54-AF5C-8452EA79B121}"/>
    <cellStyle name="Smart General" xfId="20" xr:uid="{707BC1A2-8A51-4FFB-AA94-90F7150061C6}"/>
    <cellStyle name="Smart Highlight" xfId="21" xr:uid="{953FA353-97A4-4023-B1CC-6E37FBADFF82}"/>
    <cellStyle name="Smart Percent" xfId="22" xr:uid="{33A9632D-3187-4681-8AC6-D67CABB0209C}"/>
    <cellStyle name="Smart Source" xfId="23" xr:uid="{345B81CF-459A-4E3B-AE58-6A74DA3E9D75}"/>
    <cellStyle name="Smart Subtitle 1" xfId="24" xr:uid="{84E4536C-D45A-41B5-B8FD-559D5E4669BB}"/>
    <cellStyle name="Smart Subtitle 2" xfId="25" xr:uid="{E2027B92-6949-4070-89D8-5DB621CC3EB7}"/>
    <cellStyle name="Smart Subtitle 3" xfId="26" xr:uid="{DD424F05-226D-4CC0-89A0-2763ADECAE56}"/>
    <cellStyle name="Smart Subtotal" xfId="27" xr:uid="{4807302D-4098-47DE-A561-5B36C2D51671}"/>
    <cellStyle name="Smart Title" xfId="28" xr:uid="{1357DA34-3467-44EF-8AFF-8E9C4BA1F4E8}"/>
    <cellStyle name="Smart Total" xfId="29" xr:uid="{765440F9-9862-4579-BC04-2B9471EA2CA3}"/>
    <cellStyle name="Testo descrittivo" xfId="16" builtinId="53" customBuiltin="1"/>
    <cellStyle name="Titolo" xfId="2" builtinId="15" customBuiltin="1"/>
    <cellStyle name="Titolo 1" xfId="3" builtinId="16" customBuiltin="1"/>
    <cellStyle name="Titolo 2" xfId="4" builtinId="17" customBuiltin="1"/>
    <cellStyle name="Titolo 3" xfId="5" builtinId="18" customBuiltin="1"/>
    <cellStyle name="Titolo 4" xfId="6" builtinId="19" customBuiltin="1"/>
    <cellStyle name="Totale" xfId="17" builtinId="25" customBuiltin="1"/>
    <cellStyle name="Valore non valido" xfId="8" builtinId="27" customBuiltin="1"/>
    <cellStyle name="Valore valido" xfId="7" builtinId="26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field'!$B$46:$B$51</c:f>
              <c:strCache>
                <c:ptCount val="6"/>
                <c:pt idx="0">
                  <c:v>Discounted Cash Flow</c:v>
                </c:pt>
                <c:pt idx="1">
                  <c:v>Income method</c:v>
                </c:pt>
                <c:pt idx="2">
                  <c:v>EVA</c:v>
                </c:pt>
                <c:pt idx="3">
                  <c:v>Metodi patrimoniali</c:v>
                </c:pt>
                <c:pt idx="4">
                  <c:v>Transaction multiples</c:v>
                </c:pt>
                <c:pt idx="5">
                  <c:v>Market multiples</c:v>
                </c:pt>
              </c:strCache>
            </c:strRef>
          </c:cat>
          <c:val>
            <c:numRef>
              <c:f>'Football field'!$C$46:$C$51</c:f>
              <c:numCache>
                <c:formatCode>_(* #,##0.0_);_(* \(#,##0.0\);_(* "-"_);@_)</c:formatCode>
                <c:ptCount val="6"/>
                <c:pt idx="0">
                  <c:v>61.654942049093819</c:v>
                </c:pt>
                <c:pt idx="1">
                  <c:v>67.995321359662285</c:v>
                </c:pt>
                <c:pt idx="2">
                  <c:v>53.498193310464444</c:v>
                </c:pt>
                <c:pt idx="3">
                  <c:v>50.924999999999997</c:v>
                </c:pt>
                <c:pt idx="4">
                  <c:v>54.449319178569063</c:v>
                </c:pt>
                <c:pt idx="5">
                  <c:v>59.750136104342722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64-4D9A-8BAA-1528C7D91DA8}"/>
            </c:ext>
          </c:extLst>
        </c:ser>
        <c:ser>
          <c:idx val="1"/>
          <c:order val="1"/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'Football field'!$B$46:$B$51</c:f>
              <c:strCache>
                <c:ptCount val="6"/>
                <c:pt idx="0">
                  <c:v>Discounted Cash Flow</c:v>
                </c:pt>
                <c:pt idx="1">
                  <c:v>Income method</c:v>
                </c:pt>
                <c:pt idx="2">
                  <c:v>EVA</c:v>
                </c:pt>
                <c:pt idx="3">
                  <c:v>Metodi patrimoniali</c:v>
                </c:pt>
                <c:pt idx="4">
                  <c:v>Transaction multiples</c:v>
                </c:pt>
                <c:pt idx="5">
                  <c:v>Market multiples</c:v>
                </c:pt>
              </c:strCache>
            </c:strRef>
          </c:cat>
          <c:val>
            <c:numRef>
              <c:f>'Football field'!$D$46:$D$51</c:f>
              <c:numCache>
                <c:formatCode>_(* #,##0.0_);_(* \(#,##0.0\);_(* "-"_);@_)</c:formatCode>
                <c:ptCount val="6"/>
                <c:pt idx="0">
                  <c:v>7.7185058643566302</c:v>
                </c:pt>
                <c:pt idx="1">
                  <c:v>8.4596498042610762</c:v>
                </c:pt>
                <c:pt idx="2">
                  <c:v>1.1691577817213548</c:v>
                </c:pt>
                <c:pt idx="3">
                  <c:v>0.52300000000000002</c:v>
                </c:pt>
                <c:pt idx="4">
                  <c:v>7.908650069620708</c:v>
                </c:pt>
                <c:pt idx="5">
                  <c:v>2.3202245965786426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64-4D9A-8BAA-1528C7D91DA8}"/>
            </c:ext>
          </c:extLst>
        </c:ser>
        <c:ser>
          <c:idx val="2"/>
          <c:order val="2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'Football field'!$B$46:$B$51</c:f>
              <c:strCache>
                <c:ptCount val="6"/>
                <c:pt idx="0">
                  <c:v>Discounted Cash Flow</c:v>
                </c:pt>
                <c:pt idx="1">
                  <c:v>Income method</c:v>
                </c:pt>
                <c:pt idx="2">
                  <c:v>EVA</c:v>
                </c:pt>
                <c:pt idx="3">
                  <c:v>Metodi patrimoniali</c:v>
                </c:pt>
                <c:pt idx="4">
                  <c:v>Transaction multiples</c:v>
                </c:pt>
                <c:pt idx="5">
                  <c:v>Market multiples</c:v>
                </c:pt>
              </c:strCache>
            </c:strRef>
          </c:cat>
          <c:val>
            <c:numRef>
              <c:f>'Football field'!$E$46:$E$51</c:f>
              <c:numCache>
                <c:formatCode>_(* #,##0.0_);_(* \(#,##0.0\);_(* "-"_);@_)</c:formatCode>
                <c:ptCount val="6"/>
                <c:pt idx="0">
                  <c:v>10.141013301163737</c:v>
                </c:pt>
                <c:pt idx="1">
                  <c:v>11.120352811431978</c:v>
                </c:pt>
                <c:pt idx="2">
                  <c:v>1.1956652843237825</c:v>
                </c:pt>
                <c:pt idx="3">
                  <c:v>0.52300000000000002</c:v>
                </c:pt>
                <c:pt idx="4">
                  <c:v>0.9447490080843709</c:v>
                </c:pt>
                <c:pt idx="5">
                  <c:v>2.3202245965786426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64-4D9A-8BAA-1528C7D91DA8}"/>
            </c:ext>
          </c:extLst>
        </c:ser>
        <c:ser>
          <c:idx val="3"/>
          <c:order val="3"/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field'!$B$46:$B$51</c:f>
              <c:strCache>
                <c:ptCount val="6"/>
                <c:pt idx="0">
                  <c:v>Discounted Cash Flow</c:v>
                </c:pt>
                <c:pt idx="1">
                  <c:v>Income method</c:v>
                </c:pt>
                <c:pt idx="2">
                  <c:v>EVA</c:v>
                </c:pt>
                <c:pt idx="3">
                  <c:v>Metodi patrimoniali</c:v>
                </c:pt>
                <c:pt idx="4">
                  <c:v>Transaction multiples</c:v>
                </c:pt>
                <c:pt idx="5">
                  <c:v>Market multiples</c:v>
                </c:pt>
              </c:strCache>
            </c:strRef>
          </c:cat>
          <c:val>
            <c:numRef>
              <c:f>'Football field'!$F$46:$F$51</c:f>
              <c:numCache>
                <c:formatCode>_(* #,##0.0_);_(* \(#,##0.0\);_(* "-"_);@_)</c:formatCode>
                <c:ptCount val="6"/>
                <c:pt idx="0">
                  <c:v>79.514461214614187</c:v>
                </c:pt>
                <c:pt idx="1">
                  <c:v>87.575323975355332</c:v>
                </c:pt>
                <c:pt idx="2">
                  <c:v>55.863016376509577</c:v>
                </c:pt>
                <c:pt idx="3">
                  <c:v>51.970999999999997</c:v>
                </c:pt>
                <c:pt idx="4">
                  <c:v>63.30271825627414</c:v>
                </c:pt>
                <c:pt idx="5">
                  <c:v>64.39058529750001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64-4D9A-8BAA-1528C7D91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6698527"/>
        <c:axId val="1008405599"/>
      </c:barChart>
      <c:catAx>
        <c:axId val="101669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08405599"/>
        <c:crosses val="autoZero"/>
        <c:auto val="1"/>
        <c:lblAlgn val="ctr"/>
        <c:lblOffset val="100"/>
        <c:noMultiLvlLbl val="0"/>
      </c:catAx>
      <c:valAx>
        <c:axId val="1008405599"/>
        <c:scaling>
          <c:orientation val="minMax"/>
          <c:max val="90"/>
          <c:min val="40"/>
        </c:scaling>
        <c:delete val="1"/>
        <c:axPos val="b"/>
        <c:numFmt formatCode="_(* #,##0.0_);_(* \(#,##0.0\);_(* &quot;-&quot;_);@_)" sourceLinked="1"/>
        <c:majorTickMark val="out"/>
        <c:minorTickMark val="none"/>
        <c:tickLblPos val="nextTo"/>
        <c:crossAx val="1016698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field'!$B$54:$B$59</c:f>
              <c:strCache>
                <c:ptCount val="6"/>
                <c:pt idx="0">
                  <c:v>Discounted Cash Flow</c:v>
                </c:pt>
                <c:pt idx="1">
                  <c:v>Income method</c:v>
                </c:pt>
                <c:pt idx="2">
                  <c:v>EVA</c:v>
                </c:pt>
                <c:pt idx="3">
                  <c:v>Metodi patrimoniali</c:v>
                </c:pt>
                <c:pt idx="4">
                  <c:v>Transaction multiples</c:v>
                </c:pt>
                <c:pt idx="5">
                  <c:v>Market multiples</c:v>
                </c:pt>
              </c:strCache>
            </c:strRef>
          </c:cat>
          <c:val>
            <c:numRef>
              <c:f>'Football field'!$C$54:$C$59</c:f>
              <c:numCache>
                <c:formatCode>#,##0.0"x";"n.m."</c:formatCode>
                <c:ptCount val="6"/>
                <c:pt idx="0">
                  <c:v>5.0954497561234566</c:v>
                </c:pt>
                <c:pt idx="1">
                  <c:v>5.6194480462530807</c:v>
                </c:pt>
                <c:pt idx="2">
                  <c:v>4.4213382901210281</c:v>
                </c:pt>
                <c:pt idx="3">
                  <c:v>4.2086776859504136</c:v>
                </c:pt>
                <c:pt idx="4">
                  <c:v>4.4999437337660382</c:v>
                </c:pt>
                <c:pt idx="5">
                  <c:v>4.9380277772184069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2D-435E-B6B9-8FAF6AE399CA}"/>
            </c:ext>
          </c:extLst>
        </c:ser>
        <c:ser>
          <c:idx val="1"/>
          <c:order val="1"/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'Football field'!$B$54:$B$59</c:f>
              <c:strCache>
                <c:ptCount val="6"/>
                <c:pt idx="0">
                  <c:v>Discounted Cash Flow</c:v>
                </c:pt>
                <c:pt idx="1">
                  <c:v>Income method</c:v>
                </c:pt>
                <c:pt idx="2">
                  <c:v>EVA</c:v>
                </c:pt>
                <c:pt idx="3">
                  <c:v>Metodi patrimoniali</c:v>
                </c:pt>
                <c:pt idx="4">
                  <c:v>Transaction multiples</c:v>
                </c:pt>
                <c:pt idx="5">
                  <c:v>Market multiples</c:v>
                </c:pt>
              </c:strCache>
            </c:strRef>
          </c:cat>
          <c:val>
            <c:numRef>
              <c:f>'Football field'!$D$54:$D$59</c:f>
              <c:numCache>
                <c:formatCode>#,##0.0"x";"n.m."</c:formatCode>
                <c:ptCount val="6"/>
                <c:pt idx="0">
                  <c:v>0.63789304664104307</c:v>
                </c:pt>
                <c:pt idx="1">
                  <c:v>0.69914461192240296</c:v>
                </c:pt>
                <c:pt idx="2">
                  <c:v>9.6624610059616423E-2</c:v>
                </c:pt>
                <c:pt idx="3">
                  <c:v>4.3223140495867618E-2</c:v>
                </c:pt>
                <c:pt idx="4">
                  <c:v>0.65360744377030677</c:v>
                </c:pt>
                <c:pt idx="5">
                  <c:v>0.19175409889079731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2D-435E-B6B9-8FAF6AE399CA}"/>
            </c:ext>
          </c:extLst>
        </c:ser>
        <c:ser>
          <c:idx val="2"/>
          <c:order val="2"/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'Football field'!$B$54:$B$59</c:f>
              <c:strCache>
                <c:ptCount val="6"/>
                <c:pt idx="0">
                  <c:v>Discounted Cash Flow</c:v>
                </c:pt>
                <c:pt idx="1">
                  <c:v>Income method</c:v>
                </c:pt>
                <c:pt idx="2">
                  <c:v>EVA</c:v>
                </c:pt>
                <c:pt idx="3">
                  <c:v>Metodi patrimoniali</c:v>
                </c:pt>
                <c:pt idx="4">
                  <c:v>Transaction multiples</c:v>
                </c:pt>
                <c:pt idx="5">
                  <c:v>Market multiples</c:v>
                </c:pt>
              </c:strCache>
            </c:strRef>
          </c:cat>
          <c:val>
            <c:numRef>
              <c:f>'Football field'!$E$54:$E$59</c:f>
              <c:numCache>
                <c:formatCode>#,##0.0"x";"n.m."</c:formatCode>
                <c:ptCount val="6"/>
                <c:pt idx="0">
                  <c:v>0.8381002728234499</c:v>
                </c:pt>
                <c:pt idx="1">
                  <c:v>0.91903742243239517</c:v>
                </c:pt>
                <c:pt idx="2">
                  <c:v>9.8815312754031659E-2</c:v>
                </c:pt>
                <c:pt idx="3">
                  <c:v>4.3223140495867618E-2</c:v>
                </c:pt>
                <c:pt idx="4">
                  <c:v>7.8078430420196021E-2</c:v>
                </c:pt>
                <c:pt idx="5">
                  <c:v>0.19175409889079642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2D-435E-B6B9-8FAF6AE399CA}"/>
            </c:ext>
          </c:extLst>
        </c:ser>
        <c:ser>
          <c:idx val="3"/>
          <c:order val="3"/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field'!$B$54:$B$59</c:f>
              <c:strCache>
                <c:ptCount val="6"/>
                <c:pt idx="0">
                  <c:v>Discounted Cash Flow</c:v>
                </c:pt>
                <c:pt idx="1">
                  <c:v>Income method</c:v>
                </c:pt>
                <c:pt idx="2">
                  <c:v>EVA</c:v>
                </c:pt>
                <c:pt idx="3">
                  <c:v>Metodi patrimoniali</c:v>
                </c:pt>
                <c:pt idx="4">
                  <c:v>Transaction multiples</c:v>
                </c:pt>
                <c:pt idx="5">
                  <c:v>Market multiples</c:v>
                </c:pt>
              </c:strCache>
            </c:strRef>
          </c:cat>
          <c:val>
            <c:numRef>
              <c:f>'Football field'!$F$54:$F$59</c:f>
              <c:numCache>
                <c:formatCode>#,##0.0"x";"n.m."</c:formatCode>
                <c:ptCount val="6"/>
                <c:pt idx="0">
                  <c:v>6.5714430755879496</c:v>
                </c:pt>
                <c:pt idx="1">
                  <c:v>7.2376300806078788</c:v>
                </c:pt>
                <c:pt idx="2">
                  <c:v>4.6167782129346762</c:v>
                </c:pt>
                <c:pt idx="3">
                  <c:v>4.2951239669421488</c:v>
                </c:pt>
                <c:pt idx="4">
                  <c:v>5.231629607956541</c:v>
                </c:pt>
                <c:pt idx="5">
                  <c:v>5.3215359750000006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2D-435E-B6B9-8FAF6AE39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6698527"/>
        <c:axId val="1008405599"/>
      </c:barChart>
      <c:catAx>
        <c:axId val="101669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08405599"/>
        <c:crosses val="autoZero"/>
        <c:auto val="1"/>
        <c:lblAlgn val="ctr"/>
        <c:lblOffset val="100"/>
        <c:noMultiLvlLbl val="0"/>
      </c:catAx>
      <c:valAx>
        <c:axId val="1008405599"/>
        <c:scaling>
          <c:orientation val="minMax"/>
          <c:max val="8"/>
          <c:min val="3"/>
        </c:scaling>
        <c:delete val="1"/>
        <c:axPos val="b"/>
        <c:numFmt formatCode="#,##0.0&quot;x&quot;;&quot;n.m.&quot;" sourceLinked="1"/>
        <c:majorTickMark val="out"/>
        <c:minorTickMark val="none"/>
        <c:tickLblPos val="nextTo"/>
        <c:crossAx val="1016698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field'!$B$62:$B$67</c:f>
              <c:strCache>
                <c:ptCount val="6"/>
                <c:pt idx="0">
                  <c:v>Discounted Cash Flow</c:v>
                </c:pt>
                <c:pt idx="1">
                  <c:v>Income method</c:v>
                </c:pt>
                <c:pt idx="2">
                  <c:v>EVA</c:v>
                </c:pt>
                <c:pt idx="3">
                  <c:v>Metodi patrimoniali</c:v>
                </c:pt>
                <c:pt idx="4">
                  <c:v>Transaction multiples</c:v>
                </c:pt>
                <c:pt idx="5">
                  <c:v>Market multiples</c:v>
                </c:pt>
              </c:strCache>
            </c:strRef>
          </c:cat>
          <c:val>
            <c:numRef>
              <c:f>'Football field'!$C$62:$C$67</c:f>
              <c:numCache>
                <c:formatCode>_(* #,##0.0_);_(* \(#,##0.0\);_(* "-"_);@_)</c:formatCode>
                <c:ptCount val="6"/>
                <c:pt idx="0">
                  <c:v>45.35894204909382</c:v>
                </c:pt>
                <c:pt idx="1">
                  <c:v>51.699321359662278</c:v>
                </c:pt>
                <c:pt idx="2">
                  <c:v>39.034193310464438</c:v>
                </c:pt>
                <c:pt idx="3">
                  <c:v>36.460999999999999</c:v>
                </c:pt>
                <c:pt idx="4">
                  <c:v>39.985319178569064</c:v>
                </c:pt>
                <c:pt idx="5">
                  <c:v>45.286136104342724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4-40CF-B2F5-9AE4C88E41F5}"/>
            </c:ext>
          </c:extLst>
        </c:ser>
        <c:ser>
          <c:idx val="1"/>
          <c:order val="1"/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'Football field'!$B$62:$B$67</c:f>
              <c:strCache>
                <c:ptCount val="6"/>
                <c:pt idx="0">
                  <c:v>Discounted Cash Flow</c:v>
                </c:pt>
                <c:pt idx="1">
                  <c:v>Income method</c:v>
                </c:pt>
                <c:pt idx="2">
                  <c:v>EVA</c:v>
                </c:pt>
                <c:pt idx="3">
                  <c:v>Metodi patrimoniali</c:v>
                </c:pt>
                <c:pt idx="4">
                  <c:v>Transaction multiples</c:v>
                </c:pt>
                <c:pt idx="5">
                  <c:v>Market multiples</c:v>
                </c:pt>
              </c:strCache>
            </c:strRef>
          </c:cat>
          <c:val>
            <c:numRef>
              <c:f>'Football field'!$D$62:$D$67</c:f>
              <c:numCache>
                <c:formatCode>_(* #,##0.0_);_(* \(#,##0.0\);_(* "-"_);@_)</c:formatCode>
                <c:ptCount val="6"/>
                <c:pt idx="0">
                  <c:v>7.7185058643566302</c:v>
                </c:pt>
                <c:pt idx="1">
                  <c:v>8.4596498042610762</c:v>
                </c:pt>
                <c:pt idx="2">
                  <c:v>1.1691577817213548</c:v>
                </c:pt>
                <c:pt idx="3">
                  <c:v>0.52300000000000002</c:v>
                </c:pt>
                <c:pt idx="4">
                  <c:v>7.908650069620708</c:v>
                </c:pt>
                <c:pt idx="5">
                  <c:v>2.3202245965786426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C4-40CF-B2F5-9AE4C88E41F5}"/>
            </c:ext>
          </c:extLst>
        </c:ser>
        <c:ser>
          <c:idx val="2"/>
          <c:order val="2"/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'Football field'!$B$62:$B$67</c:f>
              <c:strCache>
                <c:ptCount val="6"/>
                <c:pt idx="0">
                  <c:v>Discounted Cash Flow</c:v>
                </c:pt>
                <c:pt idx="1">
                  <c:v>Income method</c:v>
                </c:pt>
                <c:pt idx="2">
                  <c:v>EVA</c:v>
                </c:pt>
                <c:pt idx="3">
                  <c:v>Metodi patrimoniali</c:v>
                </c:pt>
                <c:pt idx="4">
                  <c:v>Transaction multiples</c:v>
                </c:pt>
                <c:pt idx="5">
                  <c:v>Market multiples</c:v>
                </c:pt>
              </c:strCache>
            </c:strRef>
          </c:cat>
          <c:val>
            <c:numRef>
              <c:f>'Football field'!$E$62:$E$67</c:f>
              <c:numCache>
                <c:formatCode>_(* #,##0.0_);_(* \(#,##0.0\);_(* "-"_);@_)</c:formatCode>
                <c:ptCount val="6"/>
                <c:pt idx="0">
                  <c:v>10.141013301163737</c:v>
                </c:pt>
                <c:pt idx="1">
                  <c:v>11.120352811431978</c:v>
                </c:pt>
                <c:pt idx="2">
                  <c:v>1.1956652843237825</c:v>
                </c:pt>
                <c:pt idx="3">
                  <c:v>0.52300000000000002</c:v>
                </c:pt>
                <c:pt idx="4">
                  <c:v>0.9447490080843709</c:v>
                </c:pt>
                <c:pt idx="5">
                  <c:v>2.3202245965786426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C4-40CF-B2F5-9AE4C88E41F5}"/>
            </c:ext>
          </c:extLst>
        </c:ser>
        <c:ser>
          <c:idx val="3"/>
          <c:order val="3"/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field'!$B$62:$B$67</c:f>
              <c:strCache>
                <c:ptCount val="6"/>
                <c:pt idx="0">
                  <c:v>Discounted Cash Flow</c:v>
                </c:pt>
                <c:pt idx="1">
                  <c:v>Income method</c:v>
                </c:pt>
                <c:pt idx="2">
                  <c:v>EVA</c:v>
                </c:pt>
                <c:pt idx="3">
                  <c:v>Metodi patrimoniali</c:v>
                </c:pt>
                <c:pt idx="4">
                  <c:v>Transaction multiples</c:v>
                </c:pt>
                <c:pt idx="5">
                  <c:v>Market multiples</c:v>
                </c:pt>
              </c:strCache>
            </c:strRef>
          </c:cat>
          <c:val>
            <c:numRef>
              <c:f>'Football field'!$F$62:$F$67</c:f>
              <c:numCache>
                <c:formatCode>_(* #,##0.0_);_(* \(#,##0.0\);_(* "-"_);@_)</c:formatCode>
                <c:ptCount val="6"/>
                <c:pt idx="0">
                  <c:v>63.218461214614187</c:v>
                </c:pt>
                <c:pt idx="1">
                  <c:v>71.279323975355339</c:v>
                </c:pt>
                <c:pt idx="2">
                  <c:v>41.399016376509579</c:v>
                </c:pt>
                <c:pt idx="3">
                  <c:v>37.506999999999998</c:v>
                </c:pt>
                <c:pt idx="4">
                  <c:v>48.838718256274142</c:v>
                </c:pt>
                <c:pt idx="5">
                  <c:v>49.926585297500012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C4-40CF-B2F5-9AE4C88E4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6698527"/>
        <c:axId val="1008405599"/>
      </c:barChart>
      <c:catAx>
        <c:axId val="101669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08405599"/>
        <c:crosses val="autoZero"/>
        <c:auto val="1"/>
        <c:lblAlgn val="ctr"/>
        <c:lblOffset val="100"/>
        <c:noMultiLvlLbl val="0"/>
      </c:catAx>
      <c:valAx>
        <c:axId val="1008405599"/>
        <c:scaling>
          <c:orientation val="minMax"/>
          <c:max val="80"/>
          <c:min val="30"/>
        </c:scaling>
        <c:delete val="1"/>
        <c:axPos val="b"/>
        <c:numFmt formatCode="_(* #,##0.0_);_(* \(#,##0.0\);_(* &quot;-&quot;_);@_)" sourceLinked="1"/>
        <c:majorTickMark val="out"/>
        <c:minorTickMark val="none"/>
        <c:tickLblPos val="nextTo"/>
        <c:crossAx val="1016698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9</xdr:row>
      <xdr:rowOff>19050</xdr:rowOff>
    </xdr:from>
    <xdr:to>
      <xdr:col>14</xdr:col>
      <xdr:colOff>514350</xdr:colOff>
      <xdr:row>14</xdr:row>
      <xdr:rowOff>333375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6DF191-E529-4843-B8FB-5E4C18235E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</xdr:colOff>
      <xdr:row>23</xdr:row>
      <xdr:rowOff>19050</xdr:rowOff>
    </xdr:from>
    <xdr:to>
      <xdr:col>14</xdr:col>
      <xdr:colOff>514350</xdr:colOff>
      <xdr:row>28</xdr:row>
      <xdr:rowOff>333375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3D1736-5E54-481F-9283-FD18276233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38100</xdr:colOff>
      <xdr:row>35</xdr:row>
      <xdr:rowOff>19050</xdr:rowOff>
    </xdr:from>
    <xdr:to>
      <xdr:col>14</xdr:col>
      <xdr:colOff>514350</xdr:colOff>
      <xdr:row>40</xdr:row>
      <xdr:rowOff>333375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D1906C-D6B4-4A78-B959-8B89F83AA7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PwC Orange">
      <a:dk1>
        <a:srgbClr val="000000"/>
      </a:dk1>
      <a:lt1>
        <a:srgbClr val="FFFFFF"/>
      </a:lt1>
      <a:dk2>
        <a:srgbClr val="DC6900"/>
      </a:dk2>
      <a:lt2>
        <a:srgbClr val="FFFFFF"/>
      </a:lt2>
      <a:accent1>
        <a:srgbClr val="DC6900"/>
      </a:accent1>
      <a:accent2>
        <a:srgbClr val="FFB600"/>
      </a:accent2>
      <a:accent3>
        <a:srgbClr val="602320"/>
      </a:accent3>
      <a:accent4>
        <a:srgbClr val="DB536A"/>
      </a:accent4>
      <a:accent5>
        <a:srgbClr val="A32020"/>
      </a:accent5>
      <a:accent6>
        <a:srgbClr val="E0301E"/>
      </a:accent6>
      <a:hlink>
        <a:srgbClr val="DC6900"/>
      </a:hlink>
      <a:folHlink>
        <a:srgbClr val="DC690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5E8E8-3431-404F-A0D9-DD599C9616AA}">
  <dimension ref="B2:O67"/>
  <sheetViews>
    <sheetView showGridLines="0" topLeftCell="A3" workbookViewId="0">
      <selection activeCell="F6" sqref="F6:Q16"/>
    </sheetView>
  </sheetViews>
  <sheetFormatPr defaultColWidth="9.33203125" defaultRowHeight="12" x14ac:dyDescent="0.3"/>
  <cols>
    <col min="1" max="1" width="1.6640625" style="2" customWidth="1"/>
    <col min="2" max="2" width="31.77734375" style="8" bestFit="1" customWidth="1"/>
    <col min="3" max="16384" width="9.33203125" style="2"/>
  </cols>
  <sheetData>
    <row r="2" spans="2:15" s="1" customFormat="1" ht="15.5" x14ac:dyDescent="0.35">
      <c r="B2" s="6" t="s">
        <v>406</v>
      </c>
    </row>
    <row r="3" spans="2:15" s="1" customFormat="1" ht="15.5" x14ac:dyDescent="0.35">
      <c r="B3" s="7" t="s">
        <v>383</v>
      </c>
    </row>
    <row r="6" spans="2:15" x14ac:dyDescent="0.3">
      <c r="B6" s="100" t="s">
        <v>313</v>
      </c>
    </row>
    <row r="8" spans="2:15" ht="12.5" thickBot="1" x14ac:dyDescent="0.35">
      <c r="B8" s="28" t="s">
        <v>268</v>
      </c>
      <c r="C8" s="115" t="s">
        <v>359</v>
      </c>
      <c r="D8" s="115" t="s">
        <v>384</v>
      </c>
      <c r="E8" s="115" t="s">
        <v>361</v>
      </c>
      <c r="F8" s="55"/>
      <c r="G8" s="117" t="s">
        <v>392</v>
      </c>
      <c r="H8" s="115"/>
      <c r="I8" s="115"/>
      <c r="J8" s="115"/>
      <c r="K8" s="115"/>
      <c r="L8" s="115"/>
      <c r="M8" s="115"/>
      <c r="N8" s="115"/>
      <c r="O8" s="115"/>
    </row>
    <row r="9" spans="2:15" ht="3.75" customHeight="1" x14ac:dyDescent="0.3"/>
    <row r="10" spans="2:15" ht="30" customHeight="1" x14ac:dyDescent="0.3">
      <c r="B10" s="91" t="s">
        <v>385</v>
      </c>
      <c r="C10" s="94">
        <f>+MIN(DCF!D86:F88)</f>
        <v>61654.942049093821</v>
      </c>
      <c r="D10" s="96">
        <f>+DCF!C66</f>
        <v>69373.447913450451</v>
      </c>
      <c r="E10" s="94">
        <f>+MAX(DCF!D86:F88)</f>
        <v>79514.461214614188</v>
      </c>
    </row>
    <row r="11" spans="2:15" ht="30" customHeight="1" x14ac:dyDescent="0.3">
      <c r="B11" s="91" t="s">
        <v>296</v>
      </c>
      <c r="C11" s="94">
        <f>+MIN('Income method'!D78:F80)</f>
        <v>67995.321359662281</v>
      </c>
      <c r="D11" s="96">
        <f>+'Income method'!C58</f>
        <v>76454.971163923357</v>
      </c>
      <c r="E11" s="94">
        <f>+MAX('Income method'!D78:F80)</f>
        <v>87575.323975355335</v>
      </c>
    </row>
    <row r="12" spans="2:15" ht="30" customHeight="1" x14ac:dyDescent="0.3">
      <c r="B12" s="91" t="s">
        <v>386</v>
      </c>
      <c r="C12" s="94">
        <f>+MIN('Patrimoniale e misto'!D87:F89)</f>
        <v>53498.193310464441</v>
      </c>
      <c r="D12" s="96">
        <f>+'Patrimoniale e misto'!C73</f>
        <v>54667.351092185796</v>
      </c>
      <c r="E12" s="94">
        <f>+MAX('Patrimoniale e misto'!D87:F89)</f>
        <v>55863.016376509579</v>
      </c>
    </row>
    <row r="13" spans="2:15" ht="30" customHeight="1" x14ac:dyDescent="0.3">
      <c r="B13" s="91" t="s">
        <v>387</v>
      </c>
      <c r="C13" s="94">
        <f>+MIN('Patrimoniale e misto'!C10,'Patrimoniale e misto'!F28)</f>
        <v>50925</v>
      </c>
      <c r="D13" s="96">
        <f>+AVERAGE(C13,E13)</f>
        <v>51448</v>
      </c>
      <c r="E13" s="94">
        <f>+MAX('Patrimoniale e misto'!C10,'Patrimoniale e misto'!F28)</f>
        <v>51971</v>
      </c>
    </row>
    <row r="14" spans="2:15" ht="30" customHeight="1" x14ac:dyDescent="0.3">
      <c r="B14" s="91" t="s">
        <v>388</v>
      </c>
      <c r="C14" s="94">
        <f>+'Multipli di transazioni'!C47</f>
        <v>54449.319178569065</v>
      </c>
      <c r="D14" s="96">
        <f>+'Multipli di transazioni'!D47</f>
        <v>62357.969248189773</v>
      </c>
      <c r="E14" s="94">
        <f>+'Multipli di transazioni'!E47</f>
        <v>63302.718256274144</v>
      </c>
    </row>
    <row r="15" spans="2:15" ht="30" customHeight="1" x14ac:dyDescent="0.3">
      <c r="B15" s="65" t="s">
        <v>389</v>
      </c>
      <c r="C15" s="67">
        <f>+MIN('Multipli di borsa'!C40:D40)</f>
        <v>59750.136104342724</v>
      </c>
      <c r="D15" s="83">
        <f>+AVERAGE(C15,E15)</f>
        <v>62070.360700921367</v>
      </c>
      <c r="E15" s="67">
        <f>+MAX('Multipli di borsa'!C40:D40)</f>
        <v>64390.585297500009</v>
      </c>
      <c r="G15" s="67"/>
      <c r="H15" s="67"/>
      <c r="I15" s="67"/>
      <c r="J15" s="67"/>
      <c r="K15" s="67"/>
      <c r="L15" s="67"/>
      <c r="M15" s="67"/>
      <c r="N15" s="67"/>
      <c r="O15" s="67"/>
    </row>
    <row r="18" spans="2:15" x14ac:dyDescent="0.3">
      <c r="B18" s="100" t="s">
        <v>382</v>
      </c>
    </row>
    <row r="20" spans="2:15" s="3" customFormat="1" x14ac:dyDescent="0.3">
      <c r="B20" s="9" t="s">
        <v>390</v>
      </c>
      <c r="C20" s="3">
        <f>+Proiezioni!$F$22</f>
        <v>12100</v>
      </c>
      <c r="D20" s="3">
        <f>+Proiezioni!$F$22</f>
        <v>12100</v>
      </c>
      <c r="E20" s="3">
        <f>+Proiezioni!$F$22</f>
        <v>12100</v>
      </c>
    </row>
    <row r="22" spans="2:15" ht="12.5" thickBot="1" x14ac:dyDescent="0.35">
      <c r="B22" s="28"/>
      <c r="C22" s="115" t="s">
        <v>359</v>
      </c>
      <c r="D22" s="115" t="s">
        <v>384</v>
      </c>
      <c r="E22" s="115" t="s">
        <v>361</v>
      </c>
      <c r="G22" s="117" t="s">
        <v>394</v>
      </c>
      <c r="H22" s="115"/>
      <c r="I22" s="115"/>
      <c r="J22" s="115"/>
      <c r="K22" s="115"/>
      <c r="L22" s="115"/>
      <c r="M22" s="115"/>
      <c r="N22" s="115"/>
      <c r="O22" s="115"/>
    </row>
    <row r="23" spans="2:15" ht="3.75" customHeight="1" x14ac:dyDescent="0.3"/>
    <row r="24" spans="2:15" ht="30" customHeight="1" x14ac:dyDescent="0.3">
      <c r="B24" s="91" t="s">
        <v>385</v>
      </c>
      <c r="C24" s="116">
        <f>+C10/C$20</f>
        <v>5.0954497561234566</v>
      </c>
      <c r="D24" s="122">
        <f t="shared" ref="D24:E24" si="0">+D10/D$20</f>
        <v>5.7333428027644997</v>
      </c>
      <c r="E24" s="116">
        <f t="shared" si="0"/>
        <v>6.5714430755879496</v>
      </c>
    </row>
    <row r="25" spans="2:15" ht="30" customHeight="1" x14ac:dyDescent="0.3">
      <c r="B25" s="91" t="s">
        <v>296</v>
      </c>
      <c r="C25" s="116">
        <f t="shared" ref="C25:E25" si="1">+C11/C$20</f>
        <v>5.6194480462530807</v>
      </c>
      <c r="D25" s="122">
        <f t="shared" si="1"/>
        <v>6.3185926581754837</v>
      </c>
      <c r="E25" s="116">
        <f t="shared" si="1"/>
        <v>7.2376300806078788</v>
      </c>
    </row>
    <row r="26" spans="2:15" ht="30" customHeight="1" x14ac:dyDescent="0.3">
      <c r="B26" s="91" t="s">
        <v>386</v>
      </c>
      <c r="C26" s="116">
        <f t="shared" ref="C26:E26" si="2">+C12/C$20</f>
        <v>4.4213382901210281</v>
      </c>
      <c r="D26" s="122">
        <f t="shared" si="2"/>
        <v>4.5179629001806445</v>
      </c>
      <c r="E26" s="116">
        <f t="shared" si="2"/>
        <v>4.6167782129346762</v>
      </c>
    </row>
    <row r="27" spans="2:15" ht="30" customHeight="1" x14ac:dyDescent="0.3">
      <c r="B27" s="91" t="s">
        <v>387</v>
      </c>
      <c r="C27" s="116">
        <f t="shared" ref="C27:E27" si="3">+C13/C$20</f>
        <v>4.2086776859504136</v>
      </c>
      <c r="D27" s="122">
        <f t="shared" si="3"/>
        <v>4.2519008264462812</v>
      </c>
      <c r="E27" s="116">
        <f t="shared" si="3"/>
        <v>4.2951239669421488</v>
      </c>
    </row>
    <row r="28" spans="2:15" ht="30" customHeight="1" x14ac:dyDescent="0.3">
      <c r="B28" s="91" t="s">
        <v>388</v>
      </c>
      <c r="C28" s="116">
        <f t="shared" ref="C28:E28" si="4">+C14/C$20</f>
        <v>4.4999437337660382</v>
      </c>
      <c r="D28" s="122">
        <f t="shared" si="4"/>
        <v>5.153551177536345</v>
      </c>
      <c r="E28" s="116">
        <f t="shared" si="4"/>
        <v>5.231629607956541</v>
      </c>
    </row>
    <row r="29" spans="2:15" ht="30" customHeight="1" x14ac:dyDescent="0.3">
      <c r="B29" s="65" t="s">
        <v>389</v>
      </c>
      <c r="C29" s="84">
        <f t="shared" ref="C29:E29" si="5">+C15/C$20</f>
        <v>4.9380277772184069</v>
      </c>
      <c r="D29" s="85">
        <f t="shared" si="5"/>
        <v>5.1297818761092042</v>
      </c>
      <c r="E29" s="84">
        <f t="shared" si="5"/>
        <v>5.3215359750000006</v>
      </c>
      <c r="G29" s="67"/>
      <c r="H29" s="67"/>
      <c r="I29" s="67"/>
      <c r="J29" s="67"/>
      <c r="K29" s="67"/>
      <c r="L29" s="67"/>
      <c r="M29" s="67"/>
      <c r="N29" s="67"/>
      <c r="O29" s="67"/>
    </row>
    <row r="32" spans="2:15" x14ac:dyDescent="0.3">
      <c r="B32" s="100" t="s">
        <v>319</v>
      </c>
    </row>
    <row r="34" spans="2:15" ht="12.5" thickBot="1" x14ac:dyDescent="0.35">
      <c r="B34" s="28" t="s">
        <v>268</v>
      </c>
      <c r="C34" s="115" t="s">
        <v>359</v>
      </c>
      <c r="D34" s="115" t="s">
        <v>384</v>
      </c>
      <c r="E34" s="115" t="s">
        <v>361</v>
      </c>
      <c r="G34" s="117" t="s">
        <v>395</v>
      </c>
      <c r="H34" s="115"/>
      <c r="I34" s="115"/>
      <c r="J34" s="115"/>
      <c r="K34" s="115"/>
      <c r="L34" s="115"/>
      <c r="M34" s="115"/>
      <c r="N34" s="115"/>
      <c r="O34" s="115"/>
    </row>
    <row r="35" spans="2:15" ht="3.75" customHeight="1" x14ac:dyDescent="0.3"/>
    <row r="36" spans="2:15" ht="30" customHeight="1" x14ac:dyDescent="0.3">
      <c r="B36" s="91" t="s">
        <v>385</v>
      </c>
      <c r="C36" s="94">
        <f>+MIN(DCF!D95:F97)</f>
        <v>45358.942049093821</v>
      </c>
      <c r="D36" s="96">
        <f>+DCF!C79</f>
        <v>53077.447913450451</v>
      </c>
      <c r="E36" s="94">
        <f>+MAX(DCF!D95:F97)</f>
        <v>63218.461214614188</v>
      </c>
    </row>
    <row r="37" spans="2:15" ht="30" customHeight="1" x14ac:dyDescent="0.3">
      <c r="B37" s="91" t="s">
        <v>296</v>
      </c>
      <c r="C37" s="94">
        <f>+MIN('Income method'!D87:F89)</f>
        <v>51699.321359662281</v>
      </c>
      <c r="D37" s="96">
        <f>+'Income method'!C71</f>
        <v>60158.971163923357</v>
      </c>
      <c r="E37" s="94">
        <f>+MAX('Income method'!D87:F89)</f>
        <v>71279.323975355335</v>
      </c>
    </row>
    <row r="38" spans="2:15" ht="30" customHeight="1" x14ac:dyDescent="0.3">
      <c r="B38" s="91" t="s">
        <v>386</v>
      </c>
      <c r="C38" s="94">
        <f>+MIN('Patrimoniale e misto'!D96:F98)</f>
        <v>39034.193310464441</v>
      </c>
      <c r="D38" s="96">
        <f>+'Patrimoniale e misto'!C80</f>
        <v>40203.351092185796</v>
      </c>
      <c r="E38" s="94">
        <f>+MAX('Patrimoniale e misto'!D96:F98)</f>
        <v>41399.016376509579</v>
      </c>
    </row>
    <row r="39" spans="2:15" ht="30" customHeight="1" x14ac:dyDescent="0.3">
      <c r="B39" s="91" t="s">
        <v>387</v>
      </c>
      <c r="C39" s="94">
        <f>+MIN('Patrimoniale e misto'!C17,'Patrimoniale e misto'!F35)</f>
        <v>36461</v>
      </c>
      <c r="D39" s="96">
        <f>+AVERAGE(C39,E39)</f>
        <v>36984</v>
      </c>
      <c r="E39" s="94">
        <f>+MAX('Patrimoniale e misto'!C17,'Patrimoniale e misto'!F35)</f>
        <v>37507</v>
      </c>
    </row>
    <row r="40" spans="2:15" ht="30" customHeight="1" x14ac:dyDescent="0.3">
      <c r="B40" s="91" t="s">
        <v>388</v>
      </c>
      <c r="C40" s="94">
        <f>+'Multipli di transazioni'!C54</f>
        <v>39985.319178569065</v>
      </c>
      <c r="D40" s="96">
        <f>+'Multipli di transazioni'!D54</f>
        <v>47893.969248189773</v>
      </c>
      <c r="E40" s="94">
        <f>+'Multipli di transazioni'!E54</f>
        <v>48838.718256274144</v>
      </c>
    </row>
    <row r="41" spans="2:15" ht="30" customHeight="1" x14ac:dyDescent="0.3">
      <c r="B41" s="65" t="s">
        <v>389</v>
      </c>
      <c r="C41" s="67">
        <f>+MIN('Multipli di borsa'!C47:D47)</f>
        <v>45286.136104342724</v>
      </c>
      <c r="D41" s="83">
        <f>+AVERAGE(C41,E41)</f>
        <v>47606.360700921367</v>
      </c>
      <c r="E41" s="67">
        <f>+MAX('Multipli di borsa'!C47:D47)</f>
        <v>49926.585297500009</v>
      </c>
      <c r="G41" s="67"/>
      <c r="H41" s="67"/>
      <c r="I41" s="67"/>
      <c r="J41" s="67"/>
      <c r="K41" s="67"/>
      <c r="L41" s="67"/>
      <c r="M41" s="67"/>
      <c r="N41" s="67"/>
      <c r="O41" s="67"/>
    </row>
    <row r="45" spans="2:15" x14ac:dyDescent="0.3">
      <c r="B45" s="118" t="s">
        <v>391</v>
      </c>
      <c r="C45" s="119"/>
      <c r="D45" s="119"/>
      <c r="E45" s="119"/>
      <c r="F45" s="119"/>
    </row>
    <row r="46" spans="2:15" x14ac:dyDescent="0.3">
      <c r="B46" s="120" t="s">
        <v>385</v>
      </c>
      <c r="C46" s="121">
        <f>+C10/1000</f>
        <v>61.654942049093819</v>
      </c>
      <c r="D46" s="121">
        <f>(D10-C10)/1000</f>
        <v>7.7185058643566302</v>
      </c>
      <c r="E46" s="121">
        <f>(E10-D10)/1000</f>
        <v>10.141013301163737</v>
      </c>
      <c r="F46" s="121">
        <f>+E10/1000</f>
        <v>79.514461214614187</v>
      </c>
    </row>
    <row r="47" spans="2:15" x14ac:dyDescent="0.3">
      <c r="B47" s="120" t="s">
        <v>296</v>
      </c>
      <c r="C47" s="121">
        <f t="shared" ref="C47:C50" si="6">+C11/1000</f>
        <v>67.995321359662285</v>
      </c>
      <c r="D47" s="121">
        <f t="shared" ref="D47:E47" si="7">(D11-C11)/1000</f>
        <v>8.4596498042610762</v>
      </c>
      <c r="E47" s="121">
        <f t="shared" si="7"/>
        <v>11.120352811431978</v>
      </c>
      <c r="F47" s="121">
        <f t="shared" ref="F47:F50" si="8">+E11/1000</f>
        <v>87.575323975355332</v>
      </c>
    </row>
    <row r="48" spans="2:15" x14ac:dyDescent="0.3">
      <c r="B48" s="120" t="s">
        <v>386</v>
      </c>
      <c r="C48" s="121">
        <f t="shared" si="6"/>
        <v>53.498193310464444</v>
      </c>
      <c r="D48" s="121">
        <f t="shared" ref="D48:E48" si="9">(D12-C12)/1000</f>
        <v>1.1691577817213548</v>
      </c>
      <c r="E48" s="121">
        <f t="shared" si="9"/>
        <v>1.1956652843237825</v>
      </c>
      <c r="F48" s="121">
        <f t="shared" si="8"/>
        <v>55.863016376509577</v>
      </c>
    </row>
    <row r="49" spans="2:6" x14ac:dyDescent="0.3">
      <c r="B49" s="120" t="s">
        <v>387</v>
      </c>
      <c r="C49" s="121">
        <f t="shared" si="6"/>
        <v>50.924999999999997</v>
      </c>
      <c r="D49" s="121">
        <f t="shared" ref="D49:E49" si="10">(D13-C13)/1000</f>
        <v>0.52300000000000002</v>
      </c>
      <c r="E49" s="121">
        <f t="shared" si="10"/>
        <v>0.52300000000000002</v>
      </c>
      <c r="F49" s="121">
        <f t="shared" si="8"/>
        <v>51.970999999999997</v>
      </c>
    </row>
    <row r="50" spans="2:6" x14ac:dyDescent="0.3">
      <c r="B50" s="120" t="s">
        <v>388</v>
      </c>
      <c r="C50" s="121">
        <f t="shared" si="6"/>
        <v>54.449319178569063</v>
      </c>
      <c r="D50" s="121">
        <f t="shared" ref="D50:E50" si="11">(D14-C14)/1000</f>
        <v>7.908650069620708</v>
      </c>
      <c r="E50" s="121">
        <f t="shared" si="11"/>
        <v>0.9447490080843709</v>
      </c>
      <c r="F50" s="121">
        <f t="shared" si="8"/>
        <v>63.30271825627414</v>
      </c>
    </row>
    <row r="51" spans="2:6" x14ac:dyDescent="0.3">
      <c r="B51" s="120" t="s">
        <v>389</v>
      </c>
      <c r="C51" s="121">
        <f>+C15/1000</f>
        <v>59.750136104342722</v>
      </c>
      <c r="D51" s="121">
        <f>(D15-C15)/1000</f>
        <v>2.3202245965786426</v>
      </c>
      <c r="E51" s="121">
        <f>(E15-D15)/1000</f>
        <v>2.3202245965786426</v>
      </c>
      <c r="F51" s="121">
        <f>+E15/1000</f>
        <v>64.39058529750001</v>
      </c>
    </row>
    <row r="52" spans="2:6" x14ac:dyDescent="0.3">
      <c r="B52" s="120"/>
      <c r="C52" s="121"/>
      <c r="D52" s="121"/>
      <c r="E52" s="121"/>
      <c r="F52" s="121"/>
    </row>
    <row r="53" spans="2:6" x14ac:dyDescent="0.3">
      <c r="B53" s="118" t="s">
        <v>393</v>
      </c>
      <c r="C53" s="121"/>
      <c r="D53" s="121"/>
      <c r="E53" s="121"/>
      <c r="F53" s="121"/>
    </row>
    <row r="54" spans="2:6" x14ac:dyDescent="0.3">
      <c r="B54" s="126" t="s">
        <v>385</v>
      </c>
      <c r="C54" s="127">
        <f>+C24</f>
        <v>5.0954497561234566</v>
      </c>
      <c r="D54" s="127">
        <f>(D24-C24)</f>
        <v>0.63789304664104307</v>
      </c>
      <c r="E54" s="127">
        <f>(E24-D24)</f>
        <v>0.8381002728234499</v>
      </c>
      <c r="F54" s="127">
        <f>+E24</f>
        <v>6.5714430755879496</v>
      </c>
    </row>
    <row r="55" spans="2:6" x14ac:dyDescent="0.3">
      <c r="B55" s="126" t="s">
        <v>296</v>
      </c>
      <c r="C55" s="127">
        <f t="shared" ref="C55:C59" si="12">+C25</f>
        <v>5.6194480462530807</v>
      </c>
      <c r="D55" s="127">
        <f t="shared" ref="D55:E55" si="13">(D25-C25)</f>
        <v>0.69914461192240296</v>
      </c>
      <c r="E55" s="127">
        <f t="shared" si="13"/>
        <v>0.91903742243239517</v>
      </c>
      <c r="F55" s="127">
        <f t="shared" ref="F55:F59" si="14">+E25</f>
        <v>7.2376300806078788</v>
      </c>
    </row>
    <row r="56" spans="2:6" x14ac:dyDescent="0.3">
      <c r="B56" s="126" t="s">
        <v>386</v>
      </c>
      <c r="C56" s="127">
        <f t="shared" si="12"/>
        <v>4.4213382901210281</v>
      </c>
      <c r="D56" s="127">
        <f t="shared" ref="D56:E56" si="15">(D26-C26)</f>
        <v>9.6624610059616423E-2</v>
      </c>
      <c r="E56" s="127">
        <f t="shared" si="15"/>
        <v>9.8815312754031659E-2</v>
      </c>
      <c r="F56" s="127">
        <f t="shared" si="14"/>
        <v>4.6167782129346762</v>
      </c>
    </row>
    <row r="57" spans="2:6" x14ac:dyDescent="0.3">
      <c r="B57" s="126" t="s">
        <v>387</v>
      </c>
      <c r="C57" s="127">
        <f t="shared" si="12"/>
        <v>4.2086776859504136</v>
      </c>
      <c r="D57" s="127">
        <f t="shared" ref="D57:E57" si="16">(D27-C27)</f>
        <v>4.3223140495867618E-2</v>
      </c>
      <c r="E57" s="127">
        <f t="shared" si="16"/>
        <v>4.3223140495867618E-2</v>
      </c>
      <c r="F57" s="127">
        <f t="shared" si="14"/>
        <v>4.2951239669421488</v>
      </c>
    </row>
    <row r="58" spans="2:6" x14ac:dyDescent="0.3">
      <c r="B58" s="126" t="s">
        <v>388</v>
      </c>
      <c r="C58" s="127">
        <f t="shared" si="12"/>
        <v>4.4999437337660382</v>
      </c>
      <c r="D58" s="127">
        <f t="shared" ref="D58:E58" si="17">(D28-C28)</f>
        <v>0.65360744377030677</v>
      </c>
      <c r="E58" s="127">
        <f t="shared" si="17"/>
        <v>7.8078430420196021E-2</v>
      </c>
      <c r="F58" s="127">
        <f t="shared" si="14"/>
        <v>5.231629607956541</v>
      </c>
    </row>
    <row r="59" spans="2:6" x14ac:dyDescent="0.3">
      <c r="B59" s="126" t="s">
        <v>389</v>
      </c>
      <c r="C59" s="127">
        <f t="shared" si="12"/>
        <v>4.9380277772184069</v>
      </c>
      <c r="D59" s="127">
        <f t="shared" ref="D59:E59" si="18">(D29-C29)</f>
        <v>0.19175409889079731</v>
      </c>
      <c r="E59" s="127">
        <f t="shared" si="18"/>
        <v>0.19175409889079642</v>
      </c>
      <c r="F59" s="127">
        <f t="shared" si="14"/>
        <v>5.3215359750000006</v>
      </c>
    </row>
    <row r="60" spans="2:6" x14ac:dyDescent="0.3">
      <c r="B60" s="120"/>
      <c r="C60" s="121"/>
      <c r="D60" s="121"/>
      <c r="E60" s="121"/>
      <c r="F60" s="121"/>
    </row>
    <row r="61" spans="2:6" x14ac:dyDescent="0.3">
      <c r="B61" s="118" t="s">
        <v>396</v>
      </c>
      <c r="C61" s="121"/>
      <c r="D61" s="121"/>
      <c r="E61" s="121"/>
      <c r="F61" s="121"/>
    </row>
    <row r="62" spans="2:6" x14ac:dyDescent="0.3">
      <c r="B62" s="120" t="s">
        <v>385</v>
      </c>
      <c r="C62" s="121">
        <f>+C36/1000</f>
        <v>45.35894204909382</v>
      </c>
      <c r="D62" s="121">
        <f>(D36-C36)/1000</f>
        <v>7.7185058643566302</v>
      </c>
      <c r="E62" s="121">
        <f>(E36-D36)/1000</f>
        <v>10.141013301163737</v>
      </c>
      <c r="F62" s="121">
        <f>+E36/1000</f>
        <v>63.218461214614187</v>
      </c>
    </row>
    <row r="63" spans="2:6" x14ac:dyDescent="0.3">
      <c r="B63" s="120" t="s">
        <v>296</v>
      </c>
      <c r="C63" s="121">
        <f t="shared" ref="C63:C67" si="19">+C37/1000</f>
        <v>51.699321359662278</v>
      </c>
      <c r="D63" s="121">
        <f t="shared" ref="D63:E63" si="20">(D37-C37)/1000</f>
        <v>8.4596498042610762</v>
      </c>
      <c r="E63" s="121">
        <f t="shared" si="20"/>
        <v>11.120352811431978</v>
      </c>
      <c r="F63" s="121">
        <f t="shared" ref="F63:F67" si="21">+E37/1000</f>
        <v>71.279323975355339</v>
      </c>
    </row>
    <row r="64" spans="2:6" x14ac:dyDescent="0.3">
      <c r="B64" s="120" t="s">
        <v>386</v>
      </c>
      <c r="C64" s="121">
        <f t="shared" si="19"/>
        <v>39.034193310464438</v>
      </c>
      <c r="D64" s="121">
        <f t="shared" ref="D64:E64" si="22">(D38-C38)/1000</f>
        <v>1.1691577817213548</v>
      </c>
      <c r="E64" s="121">
        <f t="shared" si="22"/>
        <v>1.1956652843237825</v>
      </c>
      <c r="F64" s="121">
        <f t="shared" si="21"/>
        <v>41.399016376509579</v>
      </c>
    </row>
    <row r="65" spans="2:6" x14ac:dyDescent="0.3">
      <c r="B65" s="120" t="s">
        <v>387</v>
      </c>
      <c r="C65" s="121">
        <f t="shared" si="19"/>
        <v>36.460999999999999</v>
      </c>
      <c r="D65" s="121">
        <f t="shared" ref="D65:E65" si="23">(D39-C39)/1000</f>
        <v>0.52300000000000002</v>
      </c>
      <c r="E65" s="121">
        <f t="shared" si="23"/>
        <v>0.52300000000000002</v>
      </c>
      <c r="F65" s="121">
        <f t="shared" si="21"/>
        <v>37.506999999999998</v>
      </c>
    </row>
    <row r="66" spans="2:6" x14ac:dyDescent="0.3">
      <c r="B66" s="120" t="s">
        <v>388</v>
      </c>
      <c r="C66" s="121">
        <f t="shared" si="19"/>
        <v>39.985319178569064</v>
      </c>
      <c r="D66" s="121">
        <f t="shared" ref="D66:E66" si="24">(D40-C40)/1000</f>
        <v>7.908650069620708</v>
      </c>
      <c r="E66" s="121">
        <f t="shared" si="24"/>
        <v>0.9447490080843709</v>
      </c>
      <c r="F66" s="121">
        <f t="shared" si="21"/>
        <v>48.838718256274142</v>
      </c>
    </row>
    <row r="67" spans="2:6" x14ac:dyDescent="0.3">
      <c r="B67" s="120" t="s">
        <v>389</v>
      </c>
      <c r="C67" s="121">
        <f t="shared" si="19"/>
        <v>45.286136104342724</v>
      </c>
      <c r="D67" s="121">
        <f t="shared" ref="D67:E67" si="25">(D41-C41)/1000</f>
        <v>2.3202245965786426</v>
      </c>
      <c r="E67" s="121">
        <f t="shared" si="25"/>
        <v>2.3202245965786426</v>
      </c>
      <c r="F67" s="121">
        <f t="shared" si="21"/>
        <v>49.926585297500012</v>
      </c>
    </row>
  </sheetData>
  <pageMargins left="0.7" right="0.7" top="0.75" bottom="0.75" header="0.3" footer="0.3"/>
  <pageSetup paperSize="9" orientation="portrait" r:id="rId1"/>
  <ignoredErrors>
    <ignoredError sqref="D14 D40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DBD39-1F97-4A83-8F76-396A7782BE97}">
  <dimension ref="B2:K97"/>
  <sheetViews>
    <sheetView showGridLines="0" topLeftCell="A33" zoomScale="145" zoomScaleNormal="145" workbookViewId="0">
      <selection activeCell="K66" sqref="B36:K66"/>
    </sheetView>
  </sheetViews>
  <sheetFormatPr defaultColWidth="9.33203125" defaultRowHeight="12" x14ac:dyDescent="0.3"/>
  <cols>
    <col min="1" max="1" width="1.6640625" style="2" customWidth="1"/>
    <col min="2" max="2" width="37.6640625" style="8" bestFit="1" customWidth="1"/>
    <col min="3" max="10" width="10.44140625" style="2" customWidth="1"/>
    <col min="11" max="11" width="10.44140625" style="55" customWidth="1"/>
    <col min="12" max="16384" width="9.33203125" style="2"/>
  </cols>
  <sheetData>
    <row r="2" spans="2:11" s="1" customFormat="1" ht="15.5" x14ac:dyDescent="0.35">
      <c r="B2" s="6" t="s">
        <v>406</v>
      </c>
      <c r="K2" s="54"/>
    </row>
    <row r="3" spans="2:11" s="1" customFormat="1" ht="15.5" x14ac:dyDescent="0.35">
      <c r="B3" s="7" t="s">
        <v>276</v>
      </c>
      <c r="K3" s="54"/>
    </row>
    <row r="6" spans="2:11" x14ac:dyDescent="0.3">
      <c r="B6" s="66" t="s">
        <v>277</v>
      </c>
      <c r="C6" s="67"/>
    </row>
    <row r="7" spans="2:11" x14ac:dyDescent="0.3">
      <c r="B7" s="62" t="s">
        <v>279</v>
      </c>
      <c r="C7" s="63">
        <v>0.5</v>
      </c>
    </row>
    <row r="8" spans="2:11" x14ac:dyDescent="0.3">
      <c r="B8" s="62" t="s">
        <v>278</v>
      </c>
      <c r="C8" s="64">
        <v>7.0000000000000007E-2</v>
      </c>
    </row>
    <row r="9" spans="2:11" x14ac:dyDescent="0.3">
      <c r="B9" s="62" t="s">
        <v>280</v>
      </c>
      <c r="C9" s="64">
        <v>1.4999999999999999E-2</v>
      </c>
    </row>
    <row r="10" spans="2:11" x14ac:dyDescent="0.3">
      <c r="B10" s="62" t="s">
        <v>281</v>
      </c>
      <c r="C10" s="64">
        <v>0.24</v>
      </c>
    </row>
    <row r="11" spans="2:11" x14ac:dyDescent="0.3">
      <c r="B11" s="62" t="s">
        <v>282</v>
      </c>
      <c r="C11" s="64">
        <v>3.9E-2</v>
      </c>
    </row>
    <row r="13" spans="2:11" s="1" customFormat="1" ht="15.5" x14ac:dyDescent="0.35">
      <c r="B13" s="125" t="s">
        <v>276</v>
      </c>
      <c r="F13" s="109"/>
      <c r="G13" s="109"/>
      <c r="H13" s="109"/>
      <c r="I13" s="109"/>
      <c r="J13" s="109"/>
      <c r="K13" s="54"/>
    </row>
    <row r="15" spans="2:11" s="5" customFormat="1" ht="12.5" thickBot="1" x14ac:dyDescent="0.35">
      <c r="B15" s="28" t="s">
        <v>268</v>
      </c>
      <c r="C15" s="45">
        <f>+'Actual data'!G8</f>
        <v>2017</v>
      </c>
      <c r="D15" s="45">
        <f t="shared" ref="D15:J15" si="0">+C15+1</f>
        <v>2018</v>
      </c>
      <c r="E15" s="45">
        <f t="shared" si="0"/>
        <v>2019</v>
      </c>
      <c r="F15" s="41">
        <f t="shared" si="0"/>
        <v>2020</v>
      </c>
      <c r="G15" s="42">
        <f t="shared" si="0"/>
        <v>2021</v>
      </c>
      <c r="H15" s="42">
        <f t="shared" si="0"/>
        <v>2022</v>
      </c>
      <c r="I15" s="42">
        <f t="shared" si="0"/>
        <v>2023</v>
      </c>
      <c r="J15" s="42">
        <f t="shared" si="0"/>
        <v>2024</v>
      </c>
      <c r="K15" s="56" t="s">
        <v>289</v>
      </c>
    </row>
    <row r="16" spans="2:11" ht="3.75" customHeight="1" x14ac:dyDescent="0.3">
      <c r="C16" s="46"/>
      <c r="D16" s="46"/>
      <c r="E16" s="46"/>
    </row>
    <row r="17" spans="2:11" x14ac:dyDescent="0.3">
      <c r="B17" s="8" t="s">
        <v>397</v>
      </c>
      <c r="C17" s="46">
        <f>+Proiezioni!C10</f>
        <v>29488</v>
      </c>
      <c r="D17" s="46">
        <f>+Proiezioni!D10</f>
        <v>31352</v>
      </c>
      <c r="E17" s="46">
        <f>+Proiezioni!E10</f>
        <v>32326</v>
      </c>
      <c r="F17" s="2">
        <f>+Proiezioni!F10</f>
        <v>33000</v>
      </c>
      <c r="G17" s="2">
        <f>+Proiezioni!G10</f>
        <v>33500</v>
      </c>
      <c r="H17" s="2">
        <f>+Proiezioni!H10</f>
        <v>33750</v>
      </c>
      <c r="I17" s="2">
        <f>+Proiezioni!I10</f>
        <v>34500</v>
      </c>
      <c r="J17" s="2">
        <f>+Proiezioni!J10</f>
        <v>34750</v>
      </c>
      <c r="K17" s="55">
        <f>+J17*(1+$C$9)</f>
        <v>35271.25</v>
      </c>
    </row>
    <row r="18" spans="2:11" x14ac:dyDescent="0.3">
      <c r="B18" s="8" t="s">
        <v>398</v>
      </c>
      <c r="C18" s="46">
        <f>+Proiezioni!C11</f>
        <v>126</v>
      </c>
      <c r="D18" s="46">
        <f>+Proiezioni!D11</f>
        <v>0</v>
      </c>
      <c r="E18" s="46">
        <f>+Proiezioni!E11</f>
        <v>48</v>
      </c>
      <c r="F18" s="2">
        <f>+Proiezioni!F11</f>
        <v>0</v>
      </c>
      <c r="G18" s="2">
        <f>+Proiezioni!G11</f>
        <v>0</v>
      </c>
      <c r="H18" s="2">
        <f>+Proiezioni!H11</f>
        <v>0</v>
      </c>
      <c r="I18" s="2">
        <f>+Proiezioni!I11</f>
        <v>0</v>
      </c>
      <c r="J18" s="2">
        <f>+Proiezioni!J11</f>
        <v>0</v>
      </c>
      <c r="K18" s="55">
        <f>+J18*(1+$C$9)</f>
        <v>0</v>
      </c>
    </row>
    <row r="19" spans="2:11" x14ac:dyDescent="0.3">
      <c r="B19" s="32" t="s">
        <v>407</v>
      </c>
      <c r="C19" s="47">
        <f t="shared" ref="C19:K19" si="1">+SUM(C17:C18)</f>
        <v>29614</v>
      </c>
      <c r="D19" s="47">
        <f t="shared" si="1"/>
        <v>31352</v>
      </c>
      <c r="E19" s="47">
        <f t="shared" si="1"/>
        <v>32374</v>
      </c>
      <c r="F19" s="33">
        <f t="shared" si="1"/>
        <v>33000</v>
      </c>
      <c r="G19" s="33">
        <f t="shared" si="1"/>
        <v>33500</v>
      </c>
      <c r="H19" s="33">
        <f t="shared" si="1"/>
        <v>33750</v>
      </c>
      <c r="I19" s="33">
        <f t="shared" si="1"/>
        <v>34500</v>
      </c>
      <c r="J19" s="33">
        <f t="shared" si="1"/>
        <v>34750</v>
      </c>
      <c r="K19" s="57">
        <f t="shared" si="1"/>
        <v>35271.25</v>
      </c>
    </row>
    <row r="20" spans="2:11" x14ac:dyDescent="0.3">
      <c r="B20" s="39" t="s">
        <v>411</v>
      </c>
      <c r="C20" s="49" t="str">
        <f>+IFERROR(C19/#REF!-1,"n.a.")</f>
        <v>n.a.</v>
      </c>
      <c r="D20" s="49">
        <f t="shared" ref="D20:K20" si="2">+IFERROR(D19/C19-1,"n.a.")</f>
        <v>5.8688458161680224E-2</v>
      </c>
      <c r="E20" s="49">
        <f t="shared" si="2"/>
        <v>3.2597601428935974E-2</v>
      </c>
      <c r="F20" s="40">
        <f t="shared" si="2"/>
        <v>1.9336504602458726E-2</v>
      </c>
      <c r="G20" s="40">
        <f t="shared" si="2"/>
        <v>1.5151515151515138E-2</v>
      </c>
      <c r="H20" s="40">
        <f t="shared" si="2"/>
        <v>7.4626865671640896E-3</v>
      </c>
      <c r="I20" s="40">
        <f t="shared" si="2"/>
        <v>2.2222222222222143E-2</v>
      </c>
      <c r="J20" s="40">
        <f t="shared" si="2"/>
        <v>7.2463768115942351E-3</v>
      </c>
      <c r="K20" s="40">
        <f t="shared" si="2"/>
        <v>1.4999999999999902E-2</v>
      </c>
    </row>
    <row r="21" spans="2:11" ht="3.75" customHeight="1" x14ac:dyDescent="0.3">
      <c r="C21" s="46"/>
      <c r="D21" s="46"/>
      <c r="E21" s="46"/>
    </row>
    <row r="22" spans="2:11" x14ac:dyDescent="0.3">
      <c r="B22" s="8" t="s">
        <v>399</v>
      </c>
      <c r="C22" s="46">
        <f>+Proiezioni!C15</f>
        <v>-710</v>
      </c>
      <c r="D22" s="46">
        <f>+Proiezioni!D15</f>
        <v>-775</v>
      </c>
      <c r="E22" s="46">
        <f>+Proiezioni!E15</f>
        <v>-882</v>
      </c>
      <c r="F22" s="2">
        <f>+Proiezioni!F15</f>
        <v>-900</v>
      </c>
      <c r="G22" s="2">
        <f>+Proiezioni!G15</f>
        <v>-910</v>
      </c>
      <c r="H22" s="2">
        <f>+Proiezioni!H15</f>
        <v>-920</v>
      </c>
      <c r="I22" s="2">
        <f>+Proiezioni!I15</f>
        <v>-930</v>
      </c>
      <c r="J22" s="2">
        <f>+Proiezioni!J15</f>
        <v>-940</v>
      </c>
      <c r="K22" s="55">
        <f>+J22*(1+$C$9)</f>
        <v>-954.09999999999991</v>
      </c>
    </row>
    <row r="23" spans="2:11" x14ac:dyDescent="0.3">
      <c r="B23" s="8" t="s">
        <v>400</v>
      </c>
      <c r="C23" s="46">
        <f>+Proiezioni!C16</f>
        <v>0</v>
      </c>
      <c r="D23" s="46">
        <f>+Proiezioni!D16</f>
        <v>0</v>
      </c>
      <c r="E23" s="46">
        <f>+Proiezioni!E16</f>
        <v>0</v>
      </c>
      <c r="F23" s="2">
        <f>+Proiezioni!F16</f>
        <v>0</v>
      </c>
      <c r="G23" s="2">
        <f>+Proiezioni!G16</f>
        <v>0</v>
      </c>
      <c r="H23" s="2">
        <f>+Proiezioni!H16</f>
        <v>0</v>
      </c>
      <c r="I23" s="2">
        <f>+Proiezioni!I16</f>
        <v>0</v>
      </c>
      <c r="J23" s="2">
        <f>+Proiezioni!J16</f>
        <v>0</v>
      </c>
      <c r="K23" s="55">
        <f>+J23*(1+$C$9)</f>
        <v>0</v>
      </c>
    </row>
    <row r="24" spans="2:11" x14ac:dyDescent="0.3">
      <c r="B24" s="8" t="s">
        <v>404</v>
      </c>
      <c r="C24" s="46">
        <f>+Proiezioni!C17</f>
        <v>-9650</v>
      </c>
      <c r="D24" s="46">
        <f>+Proiezioni!D17</f>
        <v>-11396</v>
      </c>
      <c r="E24" s="46">
        <f>+Proiezioni!E17</f>
        <v>-11688</v>
      </c>
      <c r="F24" s="2">
        <f>+Proiezioni!F17</f>
        <v>-12600</v>
      </c>
      <c r="G24" s="2">
        <f>+Proiezioni!G17</f>
        <v>-12800</v>
      </c>
      <c r="H24" s="2">
        <f>+Proiezioni!H17</f>
        <v>-12900</v>
      </c>
      <c r="I24" s="2">
        <f>+Proiezioni!I17</f>
        <v>-13100</v>
      </c>
      <c r="J24" s="2">
        <f>+Proiezioni!J17</f>
        <v>-13150</v>
      </c>
      <c r="K24" s="55">
        <f>+J24*(1+$C$9)</f>
        <v>-13347.249999999998</v>
      </c>
    </row>
    <row r="25" spans="2:11" x14ac:dyDescent="0.3">
      <c r="B25" s="8" t="s">
        <v>402</v>
      </c>
      <c r="C25" s="46">
        <f>+Proiezioni!C18</f>
        <v>-5041</v>
      </c>
      <c r="D25" s="46">
        <f>+Proiezioni!D18</f>
        <v>-5577</v>
      </c>
      <c r="E25" s="46">
        <f>+Proiezioni!E18</f>
        <v>-6083</v>
      </c>
      <c r="F25" s="2">
        <f>+Proiezioni!F18</f>
        <v>-5600</v>
      </c>
      <c r="G25" s="2">
        <f>+Proiezioni!G18</f>
        <v>-5600</v>
      </c>
      <c r="H25" s="2">
        <f>+Proiezioni!H18</f>
        <v>-5650</v>
      </c>
      <c r="I25" s="2">
        <f>+Proiezioni!I18</f>
        <v>-5675</v>
      </c>
      <c r="J25" s="2">
        <f>+Proiezioni!J18</f>
        <v>-5700</v>
      </c>
      <c r="K25" s="55">
        <f>+J25*(1+$C$9)</f>
        <v>-5785.4999999999991</v>
      </c>
    </row>
    <row r="26" spans="2:11" x14ac:dyDescent="0.3">
      <c r="B26" s="8" t="s">
        <v>403</v>
      </c>
      <c r="C26" s="46">
        <f>+Proiezioni!C19</f>
        <v>-1989</v>
      </c>
      <c r="D26" s="46">
        <f>+Proiezioni!D19</f>
        <v>-1665</v>
      </c>
      <c r="E26" s="46">
        <f>+Proiezioni!E19</f>
        <v>-1803</v>
      </c>
      <c r="F26" s="2">
        <f>+Proiezioni!F19</f>
        <v>-1800</v>
      </c>
      <c r="G26" s="2">
        <f>+Proiezioni!G19</f>
        <v>-1800</v>
      </c>
      <c r="H26" s="2">
        <f>+Proiezioni!H19</f>
        <v>-1800</v>
      </c>
      <c r="I26" s="2">
        <f>+Proiezioni!I19</f>
        <v>-1800</v>
      </c>
      <c r="J26" s="2">
        <f>+Proiezioni!J19</f>
        <v>-1800</v>
      </c>
      <c r="K26" s="55">
        <f>+J26*(1+$C$9)</f>
        <v>-1826.9999999999998</v>
      </c>
    </row>
    <row r="27" spans="2:11" x14ac:dyDescent="0.3">
      <c r="B27" s="32" t="s">
        <v>401</v>
      </c>
      <c r="C27" s="47">
        <f>+SUM(C22:C26)</f>
        <v>-17390</v>
      </c>
      <c r="D27" s="47">
        <f>+SUM(D22:D26)</f>
        <v>-19413</v>
      </c>
      <c r="E27" s="47">
        <f>+SUM(E22:E26)</f>
        <v>-20456</v>
      </c>
      <c r="F27" s="33">
        <f t="shared" ref="F27:K27" si="3">+SUM(F22:F26)</f>
        <v>-20900</v>
      </c>
      <c r="G27" s="33">
        <f t="shared" si="3"/>
        <v>-21110</v>
      </c>
      <c r="H27" s="33">
        <f t="shared" si="3"/>
        <v>-21270</v>
      </c>
      <c r="I27" s="33">
        <f t="shared" si="3"/>
        <v>-21505</v>
      </c>
      <c r="J27" s="33">
        <f t="shared" si="3"/>
        <v>-21590</v>
      </c>
      <c r="K27" s="57">
        <f t="shared" si="3"/>
        <v>-21913.85</v>
      </c>
    </row>
    <row r="28" spans="2:11" ht="3.75" customHeight="1" x14ac:dyDescent="0.3">
      <c r="C28" s="46"/>
      <c r="D28" s="46"/>
      <c r="E28" s="46"/>
    </row>
    <row r="29" spans="2:11" ht="12.5" thickBot="1" x14ac:dyDescent="0.35">
      <c r="B29" s="30" t="s">
        <v>264</v>
      </c>
      <c r="C29" s="48">
        <f>+C19+C27</f>
        <v>12224</v>
      </c>
      <c r="D29" s="48">
        <f>+D19+D27</f>
        <v>11939</v>
      </c>
      <c r="E29" s="48">
        <f>+E19+E27</f>
        <v>11918</v>
      </c>
      <c r="F29" s="31">
        <f t="shared" ref="F29:J29" si="4">+F19+F27</f>
        <v>12100</v>
      </c>
      <c r="G29" s="31">
        <f t="shared" si="4"/>
        <v>12390</v>
      </c>
      <c r="H29" s="31">
        <f t="shared" si="4"/>
        <v>12480</v>
      </c>
      <c r="I29" s="31">
        <f t="shared" si="4"/>
        <v>12995</v>
      </c>
      <c r="J29" s="31">
        <f t="shared" si="4"/>
        <v>13160</v>
      </c>
      <c r="K29" s="58">
        <f t="shared" ref="K29" si="5">+K19+K27</f>
        <v>13357.400000000001</v>
      </c>
    </row>
    <row r="30" spans="2:11" x14ac:dyDescent="0.3">
      <c r="B30" s="39" t="s">
        <v>409</v>
      </c>
      <c r="C30" s="50">
        <f t="shared" ref="C30:K30" si="6">+C29/C$19</f>
        <v>0.41277774025798608</v>
      </c>
      <c r="D30" s="50">
        <f t="shared" si="6"/>
        <v>0.38080505230926259</v>
      </c>
      <c r="E30" s="50">
        <f t="shared" si="6"/>
        <v>0.36813492308642737</v>
      </c>
      <c r="F30" s="34">
        <f t="shared" si="6"/>
        <v>0.36666666666666664</v>
      </c>
      <c r="G30" s="34">
        <f t="shared" si="6"/>
        <v>0.36985074626865672</v>
      </c>
      <c r="H30" s="34">
        <f t="shared" si="6"/>
        <v>0.36977777777777776</v>
      </c>
      <c r="I30" s="34">
        <f t="shared" si="6"/>
        <v>0.37666666666666665</v>
      </c>
      <c r="J30" s="34">
        <f t="shared" si="6"/>
        <v>0.37870503597122301</v>
      </c>
      <c r="K30" s="40">
        <f t="shared" si="6"/>
        <v>0.37870503597122307</v>
      </c>
    </row>
    <row r="31" spans="2:11" ht="3.75" customHeight="1" x14ac:dyDescent="0.3">
      <c r="C31" s="46"/>
      <c r="D31" s="46"/>
      <c r="E31" s="46"/>
    </row>
    <row r="32" spans="2:11" x14ac:dyDescent="0.3">
      <c r="B32" s="8" t="s">
        <v>260</v>
      </c>
      <c r="C32" s="46">
        <f>+Proiezioni!C25</f>
        <v>-6532</v>
      </c>
      <c r="D32" s="46">
        <f>+Proiezioni!D25</f>
        <v>-6034</v>
      </c>
      <c r="E32" s="46">
        <f>+Proiezioni!E25</f>
        <v>-6193</v>
      </c>
      <c r="F32" s="2">
        <f>+Proiezioni!F25</f>
        <v>-6250</v>
      </c>
      <c r="G32" s="2">
        <f>+Proiezioni!G25</f>
        <v>-6400</v>
      </c>
      <c r="H32" s="2">
        <f>+Proiezioni!H25</f>
        <v>-6500</v>
      </c>
      <c r="I32" s="2">
        <f>+Proiezioni!I25</f>
        <v>-6550</v>
      </c>
      <c r="J32" s="2">
        <f>+Proiezioni!J25</f>
        <v>-6600</v>
      </c>
      <c r="K32" s="55">
        <f>+K46</f>
        <v>-7400</v>
      </c>
    </row>
    <row r="33" spans="2:11" x14ac:dyDescent="0.3">
      <c r="B33" s="8" t="s">
        <v>408</v>
      </c>
      <c r="C33" s="46">
        <f>+Proiezioni!C26</f>
        <v>-60</v>
      </c>
      <c r="D33" s="46">
        <f>+Proiezioni!D26</f>
        <v>0</v>
      </c>
      <c r="E33" s="46">
        <f>+Proiezioni!E26</f>
        <v>0</v>
      </c>
      <c r="F33" s="2">
        <f>+Proiezioni!F26</f>
        <v>0</v>
      </c>
      <c r="G33" s="2">
        <f>+Proiezioni!G26</f>
        <v>0</v>
      </c>
      <c r="H33" s="2">
        <f>+Proiezioni!H26</f>
        <v>0</v>
      </c>
      <c r="I33" s="2">
        <f>+Proiezioni!I26</f>
        <v>0</v>
      </c>
      <c r="J33" s="2">
        <f>+Proiezioni!J26</f>
        <v>0</v>
      </c>
      <c r="K33" s="55">
        <f>+K48</f>
        <v>0</v>
      </c>
    </row>
    <row r="34" spans="2:11" ht="3.75" customHeight="1" x14ac:dyDescent="0.3">
      <c r="C34" s="46"/>
      <c r="D34" s="46"/>
      <c r="E34" s="46"/>
    </row>
    <row r="35" spans="2:11" ht="12.5" thickBot="1" x14ac:dyDescent="0.35">
      <c r="B35" s="30" t="s">
        <v>265</v>
      </c>
      <c r="C35" s="48">
        <f t="shared" ref="C35:J35" si="7">+C29+SUM(C32:C33)</f>
        <v>5632</v>
      </c>
      <c r="D35" s="48">
        <f t="shared" si="7"/>
        <v>5905</v>
      </c>
      <c r="E35" s="48">
        <f t="shared" si="7"/>
        <v>5725</v>
      </c>
      <c r="F35" s="31">
        <f t="shared" si="7"/>
        <v>5850</v>
      </c>
      <c r="G35" s="31">
        <f t="shared" si="7"/>
        <v>5990</v>
      </c>
      <c r="H35" s="31">
        <f t="shared" si="7"/>
        <v>5980</v>
      </c>
      <c r="I35" s="31">
        <f t="shared" si="7"/>
        <v>6445</v>
      </c>
      <c r="J35" s="31">
        <f t="shared" si="7"/>
        <v>6560</v>
      </c>
      <c r="K35" s="58">
        <f t="shared" ref="K35" si="8">+K29+SUM(K32:K33)</f>
        <v>5957.4000000000015</v>
      </c>
    </row>
    <row r="36" spans="2:11" x14ac:dyDescent="0.3">
      <c r="B36" s="39" t="s">
        <v>409</v>
      </c>
      <c r="C36" s="50">
        <f t="shared" ref="C36:K36" si="9">+C35/C$19</f>
        <v>0.19018032011886271</v>
      </c>
      <c r="D36" s="50">
        <f t="shared" si="9"/>
        <v>0.18834524113294207</v>
      </c>
      <c r="E36" s="50">
        <f t="shared" si="9"/>
        <v>0.17683943905603261</v>
      </c>
      <c r="F36" s="34">
        <f t="shared" si="9"/>
        <v>0.17727272727272728</v>
      </c>
      <c r="G36" s="34">
        <f t="shared" si="9"/>
        <v>0.17880597014925373</v>
      </c>
      <c r="H36" s="34">
        <f t="shared" si="9"/>
        <v>0.1771851851851852</v>
      </c>
      <c r="I36" s="34">
        <f t="shared" si="9"/>
        <v>0.18681159420289856</v>
      </c>
      <c r="J36" s="34">
        <f t="shared" si="9"/>
        <v>0.18877697841726618</v>
      </c>
      <c r="K36" s="40">
        <f t="shared" si="9"/>
        <v>0.16890243470248437</v>
      </c>
    </row>
    <row r="37" spans="2:11" ht="3.75" customHeight="1" x14ac:dyDescent="0.3">
      <c r="C37" s="46"/>
      <c r="D37" s="46"/>
      <c r="E37" s="46"/>
    </row>
    <row r="38" spans="2:11" x14ac:dyDescent="0.3">
      <c r="B38" s="8" t="s">
        <v>282</v>
      </c>
      <c r="C38" s="46">
        <f>+MIN(0,-C35*$C$11)</f>
        <v>-219.648</v>
      </c>
      <c r="D38" s="46">
        <f t="shared" ref="D38:J38" si="10">+MIN(0,-D35*$C$11)</f>
        <v>-230.29499999999999</v>
      </c>
      <c r="E38" s="46">
        <f t="shared" si="10"/>
        <v>-223.27500000000001</v>
      </c>
      <c r="F38" s="2">
        <f t="shared" si="10"/>
        <v>-228.15</v>
      </c>
      <c r="G38" s="2">
        <f t="shared" si="10"/>
        <v>-233.61</v>
      </c>
      <c r="H38" s="2">
        <f t="shared" si="10"/>
        <v>-233.22</v>
      </c>
      <c r="I38" s="2">
        <f t="shared" si="10"/>
        <v>-251.35499999999999</v>
      </c>
      <c r="J38" s="2">
        <f t="shared" si="10"/>
        <v>-255.84</v>
      </c>
      <c r="K38" s="55">
        <f t="shared" ref="K38" si="11">+MIN(0,-K35*$C$11)</f>
        <v>-232.33860000000007</v>
      </c>
    </row>
    <row r="39" spans="2:11" x14ac:dyDescent="0.3">
      <c r="B39" s="8" t="s">
        <v>281</v>
      </c>
      <c r="C39" s="46">
        <f>+MIN(0,-(C35+C38*0.1)*$C$10)</f>
        <v>-1346.4084479999999</v>
      </c>
      <c r="D39" s="46">
        <f t="shared" ref="D39:K39" si="12">+MIN(0,-(D35+D38*0.1)*$C$10)</f>
        <v>-1411.67292</v>
      </c>
      <c r="E39" s="46">
        <f t="shared" si="12"/>
        <v>-1368.6414</v>
      </c>
      <c r="F39" s="2">
        <f t="shared" si="12"/>
        <v>-1398.5244</v>
      </c>
      <c r="G39" s="2">
        <f t="shared" si="12"/>
        <v>-1431.9933599999999</v>
      </c>
      <c r="H39" s="2">
        <f t="shared" si="12"/>
        <v>-1429.6027199999999</v>
      </c>
      <c r="I39" s="2">
        <f t="shared" si="12"/>
        <v>-1540.76748</v>
      </c>
      <c r="J39" s="2">
        <f t="shared" si="12"/>
        <v>-1568.2598399999999</v>
      </c>
      <c r="K39" s="2">
        <f t="shared" si="12"/>
        <v>-1424.1998736000003</v>
      </c>
    </row>
    <row r="40" spans="2:11" x14ac:dyDescent="0.3">
      <c r="B40" s="32" t="s">
        <v>410</v>
      </c>
      <c r="C40" s="47">
        <f>+SUM(C38:C39)</f>
        <v>-1566.0564479999998</v>
      </c>
      <c r="D40" s="47">
        <f t="shared" ref="D40:K40" si="13">+SUM(D38:D39)</f>
        <v>-1641.96792</v>
      </c>
      <c r="E40" s="47">
        <f t="shared" si="13"/>
        <v>-1591.9164000000001</v>
      </c>
      <c r="F40" s="33">
        <f t="shared" si="13"/>
        <v>-1626.6744000000001</v>
      </c>
      <c r="G40" s="33">
        <f t="shared" si="13"/>
        <v>-1665.6033600000001</v>
      </c>
      <c r="H40" s="33">
        <f t="shared" si="13"/>
        <v>-1662.8227199999999</v>
      </c>
      <c r="I40" s="33">
        <f t="shared" si="13"/>
        <v>-1792.12248</v>
      </c>
      <c r="J40" s="33">
        <f t="shared" si="13"/>
        <v>-1824.0998399999999</v>
      </c>
      <c r="K40" s="57">
        <f t="shared" si="13"/>
        <v>-1656.5384736000003</v>
      </c>
    </row>
    <row r="41" spans="2:11" ht="3.75" customHeight="1" x14ac:dyDescent="0.3">
      <c r="C41" s="46"/>
      <c r="D41" s="46"/>
      <c r="E41" s="46"/>
    </row>
    <row r="42" spans="2:11" ht="12.5" thickBot="1" x14ac:dyDescent="0.35">
      <c r="B42" s="30" t="s">
        <v>283</v>
      </c>
      <c r="C42" s="48">
        <f>+C35+C40</f>
        <v>4065.9435520000002</v>
      </c>
      <c r="D42" s="48">
        <f t="shared" ref="D42:J42" si="14">+D35+D40</f>
        <v>4263.03208</v>
      </c>
      <c r="E42" s="48">
        <f t="shared" si="14"/>
        <v>4133.0835999999999</v>
      </c>
      <c r="F42" s="31">
        <f t="shared" si="14"/>
        <v>4223.3256000000001</v>
      </c>
      <c r="G42" s="31">
        <f t="shared" si="14"/>
        <v>4324.3966399999999</v>
      </c>
      <c r="H42" s="31">
        <f t="shared" si="14"/>
        <v>4317.1772799999999</v>
      </c>
      <c r="I42" s="31">
        <f t="shared" si="14"/>
        <v>4652.87752</v>
      </c>
      <c r="J42" s="31">
        <f t="shared" si="14"/>
        <v>4735.9001600000001</v>
      </c>
      <c r="K42" s="58">
        <f t="shared" ref="K42" si="15">+K35+K40</f>
        <v>4300.8615264000009</v>
      </c>
    </row>
    <row r="43" spans="2:11" ht="3.75" customHeight="1" x14ac:dyDescent="0.3"/>
    <row r="44" spans="2:11" x14ac:dyDescent="0.3">
      <c r="B44" s="8" t="s">
        <v>284</v>
      </c>
      <c r="F44" s="2">
        <f t="shared" ref="F44:J44" si="16">+-SUM(F32:F33)</f>
        <v>6250</v>
      </c>
      <c r="G44" s="2">
        <f t="shared" si="16"/>
        <v>6400</v>
      </c>
      <c r="H44" s="2">
        <f t="shared" si="16"/>
        <v>6500</v>
      </c>
      <c r="I44" s="2">
        <f t="shared" si="16"/>
        <v>6550</v>
      </c>
      <c r="J44" s="2">
        <f t="shared" si="16"/>
        <v>6600</v>
      </c>
      <c r="K44" s="55">
        <f t="shared" ref="K44" si="17">+-SUM(K32:K33)</f>
        <v>7400</v>
      </c>
    </row>
    <row r="45" spans="2:11" x14ac:dyDescent="0.3">
      <c r="B45" s="8" t="s">
        <v>412</v>
      </c>
      <c r="F45" s="2">
        <f>+Proiezioni!F89</f>
        <v>-8.3105194034105807</v>
      </c>
      <c r="G45" s="2">
        <f>+Proiezioni!G89</f>
        <v>-237.13763400587777</v>
      </c>
      <c r="H45" s="2">
        <f>+Proiezioni!H89</f>
        <v>-116.39599295784865</v>
      </c>
      <c r="I45" s="2">
        <f>+Proiezioni!I89</f>
        <v>-401.33575595558796</v>
      </c>
      <c r="J45" s="2">
        <f>+Proiezioni!J89</f>
        <v>-138.12423340870009</v>
      </c>
      <c r="K45" s="55">
        <f>-Proiezioni!J57*DCF!C9</f>
        <v>-180.81456203597136</v>
      </c>
    </row>
    <row r="46" spans="2:11" x14ac:dyDescent="0.3">
      <c r="B46" s="8" t="s">
        <v>271</v>
      </c>
      <c r="F46" s="2">
        <f>+Proiezioni!F90</f>
        <v>-7000</v>
      </c>
      <c r="G46" s="2">
        <f>+Proiezioni!G90</f>
        <v>-7000</v>
      </c>
      <c r="H46" s="2">
        <f>+Proiezioni!H90</f>
        <v>-7000</v>
      </c>
      <c r="I46" s="2">
        <f>+Proiezioni!I90</f>
        <v>-9000</v>
      </c>
      <c r="J46" s="2">
        <f>+Proiezioni!J90</f>
        <v>-7000</v>
      </c>
      <c r="K46" s="55">
        <f>+AVERAGE(F46:J46)</f>
        <v>-7400</v>
      </c>
    </row>
    <row r="47" spans="2:11" x14ac:dyDescent="0.3">
      <c r="B47" s="8" t="s">
        <v>413</v>
      </c>
      <c r="F47" s="2">
        <f>+Proiezioni!F91</f>
        <v>0</v>
      </c>
      <c r="G47" s="2">
        <f>+Proiezioni!G91</f>
        <v>0</v>
      </c>
      <c r="H47" s="2">
        <f>+Proiezioni!H91</f>
        <v>0</v>
      </c>
      <c r="I47" s="2">
        <f>+Proiezioni!I91</f>
        <v>0</v>
      </c>
      <c r="J47" s="2">
        <f>+Proiezioni!J91</f>
        <v>0</v>
      </c>
      <c r="K47" s="55">
        <f>+Proiezioni!K91</f>
        <v>0</v>
      </c>
    </row>
    <row r="48" spans="2:11" x14ac:dyDescent="0.3">
      <c r="B48" s="8" t="s">
        <v>416</v>
      </c>
      <c r="F48" s="2">
        <f>+Proiezioni!F92</f>
        <v>0</v>
      </c>
      <c r="G48" s="2">
        <f>+Proiezioni!G92</f>
        <v>0</v>
      </c>
      <c r="H48" s="2">
        <f>+Proiezioni!H92</f>
        <v>0</v>
      </c>
      <c r="I48" s="2">
        <f>+Proiezioni!I92</f>
        <v>0</v>
      </c>
      <c r="J48" s="2">
        <f>+Proiezioni!J92</f>
        <v>0</v>
      </c>
      <c r="K48" s="55">
        <f>+Proiezioni!K92</f>
        <v>0</v>
      </c>
    </row>
    <row r="49" spans="2:11" ht="3.75" customHeight="1" x14ac:dyDescent="0.3"/>
    <row r="50" spans="2:11" ht="12.5" thickBot="1" x14ac:dyDescent="0.35">
      <c r="B50" s="30" t="s">
        <v>285</v>
      </c>
      <c r="C50" s="31"/>
      <c r="D50" s="31"/>
      <c r="E50" s="31"/>
      <c r="F50" s="31">
        <f>+F42+SUM(F44:F48)</f>
        <v>3465.0150805965895</v>
      </c>
      <c r="G50" s="31">
        <f t="shared" ref="G50:J50" si="18">+G42+SUM(G44:G48)</f>
        <v>3487.2590059941222</v>
      </c>
      <c r="H50" s="31">
        <f t="shared" si="18"/>
        <v>3700.7812870421512</v>
      </c>
      <c r="I50" s="31">
        <f t="shared" si="18"/>
        <v>1801.541764044412</v>
      </c>
      <c r="J50" s="31">
        <f t="shared" si="18"/>
        <v>4197.7759265913</v>
      </c>
      <c r="K50" s="58">
        <f t="shared" ref="K50" si="19">+K42+SUM(K44:K48)</f>
        <v>4120.0469643640299</v>
      </c>
    </row>
    <row r="51" spans="2:11" ht="3.75" customHeight="1" x14ac:dyDescent="0.3"/>
    <row r="52" spans="2:11" x14ac:dyDescent="0.3">
      <c r="B52" s="8" t="s">
        <v>279</v>
      </c>
      <c r="F52" s="52">
        <f>+$C$7</f>
        <v>0.5</v>
      </c>
      <c r="G52" s="52">
        <f>+F52+1</f>
        <v>1.5</v>
      </c>
      <c r="H52" s="52">
        <f t="shared" ref="H52:J52" si="20">+G52+1</f>
        <v>2.5</v>
      </c>
      <c r="I52" s="52">
        <f t="shared" si="20"/>
        <v>3.5</v>
      </c>
      <c r="J52" s="52">
        <f t="shared" si="20"/>
        <v>4.5</v>
      </c>
      <c r="K52" s="2"/>
    </row>
    <row r="53" spans="2:11" x14ac:dyDescent="0.3">
      <c r="B53" s="8" t="s">
        <v>286</v>
      </c>
      <c r="F53" s="53">
        <f>1/(1+$C$8)^F52</f>
        <v>0.96673648904566356</v>
      </c>
      <c r="G53" s="53">
        <f t="shared" ref="G53:J53" si="21">1/(1+$C$8)^G52</f>
        <v>0.90349204583706866</v>
      </c>
      <c r="H53" s="53">
        <f t="shared" si="21"/>
        <v>0.84438508956735392</v>
      </c>
      <c r="I53" s="53">
        <f t="shared" si="21"/>
        <v>0.78914494352089137</v>
      </c>
      <c r="J53" s="53">
        <f t="shared" si="21"/>
        <v>0.73751863880457136</v>
      </c>
      <c r="K53" s="2"/>
    </row>
    <row r="54" spans="2:11" ht="3.75" customHeight="1" x14ac:dyDescent="0.3">
      <c r="K54" s="2"/>
    </row>
    <row r="55" spans="2:11" ht="12.5" thickBot="1" x14ac:dyDescent="0.35">
      <c r="B55" s="30" t="s">
        <v>287</v>
      </c>
      <c r="C55" s="31"/>
      <c r="D55" s="31"/>
      <c r="E55" s="31"/>
      <c r="F55" s="31">
        <f>+F50*F53</f>
        <v>3349.7565135062241</v>
      </c>
      <c r="G55" s="31">
        <f t="shared" ref="G55:J55" si="22">+G50*G53</f>
        <v>3150.7107736893718</v>
      </c>
      <c r="H55" s="31">
        <f t="shared" si="22"/>
        <v>3124.8845385282743</v>
      </c>
      <c r="I55" s="31">
        <f t="shared" si="22"/>
        <v>1421.6775736373545</v>
      </c>
      <c r="J55" s="31">
        <f t="shared" si="22"/>
        <v>3095.937987386214</v>
      </c>
      <c r="K55" s="2"/>
    </row>
    <row r="58" spans="2:11" x14ac:dyDescent="0.3">
      <c r="B58" s="32" t="s">
        <v>288</v>
      </c>
      <c r="C58" s="33">
        <f>+SUM(F55:J55)</f>
        <v>14142.967386747439</v>
      </c>
    </row>
    <row r="59" spans="2:11" ht="3.75" customHeight="1" x14ac:dyDescent="0.3">
      <c r="K59" s="2"/>
    </row>
    <row r="60" spans="2:11" x14ac:dyDescent="0.3">
      <c r="B60" s="8" t="s">
        <v>290</v>
      </c>
      <c r="C60" s="2">
        <f>+K50</f>
        <v>4120.0469643640299</v>
      </c>
    </row>
    <row r="61" spans="2:11" x14ac:dyDescent="0.3">
      <c r="B61" s="8" t="s">
        <v>291</v>
      </c>
      <c r="C61" s="2">
        <f>+C60/(C8-C9)</f>
        <v>74909.944806618718</v>
      </c>
    </row>
    <row r="62" spans="2:11" x14ac:dyDescent="0.3">
      <c r="B62" s="32" t="s">
        <v>292</v>
      </c>
      <c r="C62" s="33">
        <f>+C61*J53</f>
        <v>55247.48052670301</v>
      </c>
    </row>
    <row r="63" spans="2:11" ht="3.75" customHeight="1" x14ac:dyDescent="0.3">
      <c r="K63" s="2"/>
    </row>
    <row r="64" spans="2:11" s="3" customFormat="1" x14ac:dyDescent="0.3">
      <c r="B64" s="32" t="s">
        <v>416</v>
      </c>
      <c r="C64" s="33">
        <f>Proiezioni!E61</f>
        <v>-17</v>
      </c>
      <c r="K64" s="59"/>
    </row>
    <row r="65" spans="2:11" ht="3.75" customHeight="1" x14ac:dyDescent="0.3">
      <c r="K65" s="2"/>
    </row>
    <row r="66" spans="2:11" x14ac:dyDescent="0.3">
      <c r="B66" s="60" t="s">
        <v>293</v>
      </c>
      <c r="C66" s="61">
        <f>+C58+C62+C64</f>
        <v>69373.447913450451</v>
      </c>
    </row>
    <row r="68" spans="2:11" x14ac:dyDescent="0.3">
      <c r="B68" s="9" t="s">
        <v>294</v>
      </c>
    </row>
    <row r="69" spans="2:11" x14ac:dyDescent="0.3">
      <c r="B69" s="8" t="s">
        <v>417</v>
      </c>
      <c r="C69" s="2">
        <f>+Proiezioni!E67</f>
        <v>14006</v>
      </c>
    </row>
    <row r="70" spans="2:11" x14ac:dyDescent="0.3">
      <c r="B70" s="8" t="s">
        <v>418</v>
      </c>
      <c r="C70" s="2">
        <f>+Proiezioni!E68</f>
        <v>68813</v>
      </c>
    </row>
    <row r="71" spans="2:11" x14ac:dyDescent="0.3">
      <c r="B71" s="8" t="s">
        <v>259</v>
      </c>
      <c r="C71" s="2">
        <f>+Proiezioni!E69</f>
        <v>1310</v>
      </c>
    </row>
    <row r="72" spans="2:11" x14ac:dyDescent="0.3">
      <c r="B72" s="8" t="s">
        <v>419</v>
      </c>
      <c r="C72" s="2">
        <f>+Proiezioni!E70</f>
        <v>-23165</v>
      </c>
    </row>
    <row r="73" spans="2:11" x14ac:dyDescent="0.3">
      <c r="B73" s="8" t="s">
        <v>420</v>
      </c>
      <c r="C73" s="2">
        <f>+Proiezioni!E71</f>
        <v>0</v>
      </c>
    </row>
    <row r="74" spans="2:11" x14ac:dyDescent="0.3">
      <c r="B74" s="8" t="s">
        <v>258</v>
      </c>
      <c r="C74" s="2">
        <f>+Proiezioni!E72</f>
        <v>-101</v>
      </c>
    </row>
    <row r="75" spans="2:11" x14ac:dyDescent="0.3">
      <c r="B75" s="32" t="s">
        <v>423</v>
      </c>
      <c r="C75" s="33">
        <f>+SUM(C69:C74)</f>
        <v>60863</v>
      </c>
    </row>
    <row r="76" spans="2:11" ht="3.75" customHeight="1" x14ac:dyDescent="0.3">
      <c r="K76" s="2"/>
    </row>
    <row r="77" spans="2:11" x14ac:dyDescent="0.3">
      <c r="B77" s="32" t="s">
        <v>421</v>
      </c>
      <c r="C77" s="33">
        <f>+Proiezioni!E75</f>
        <v>-44567</v>
      </c>
    </row>
    <row r="78" spans="2:11" ht="3.75" customHeight="1" x14ac:dyDescent="0.3">
      <c r="K78" s="2"/>
    </row>
    <row r="79" spans="2:11" x14ac:dyDescent="0.3">
      <c r="B79" s="60" t="s">
        <v>295</v>
      </c>
      <c r="C79" s="61">
        <f>+C66-C75-C77</f>
        <v>53077.447913450451</v>
      </c>
    </row>
    <row r="82" spans="2:6" x14ac:dyDescent="0.3">
      <c r="C82" s="3" t="s">
        <v>362</v>
      </c>
    </row>
    <row r="84" spans="2:6" x14ac:dyDescent="0.3">
      <c r="F84" s="59" t="s">
        <v>278</v>
      </c>
    </row>
    <row r="85" spans="2:6" ht="12" customHeight="1" x14ac:dyDescent="0.3">
      <c r="B85" s="128" t="s">
        <v>280</v>
      </c>
      <c r="C85" s="106">
        <f>+C66</f>
        <v>69373.447913450451</v>
      </c>
      <c r="D85" s="107">
        <v>6.5000000000000002E-2</v>
      </c>
      <c r="E85" s="107">
        <v>7.0000000000000007E-2</v>
      </c>
      <c r="F85" s="107">
        <v>7.4999999999999997E-2</v>
      </c>
    </row>
    <row r="86" spans="2:6" x14ac:dyDescent="0.3">
      <c r="B86" s="128"/>
      <c r="C86" s="105">
        <v>1.2500000000000001E-2</v>
      </c>
      <c r="D86" s="103">
        <f t="dataTable" ref="D86:F88" dt2D="1" dtr="1" r1="C8" r2="C9"/>
        <v>73485.060249372298</v>
      </c>
      <c r="E86" s="99">
        <v>67053.268197013109</v>
      </c>
      <c r="F86" s="99">
        <v>61654.942049093821</v>
      </c>
    </row>
    <row r="87" spans="2:6" x14ac:dyDescent="0.3">
      <c r="B87" s="128"/>
      <c r="C87" s="105">
        <v>1.4999999999999999E-2</v>
      </c>
      <c r="D87" s="104">
        <v>76349.025707862223</v>
      </c>
      <c r="E87" s="108">
        <v>69373.447913450451</v>
      </c>
      <c r="F87" s="2">
        <v>63564.857636522727</v>
      </c>
    </row>
    <row r="88" spans="2:6" x14ac:dyDescent="0.3">
      <c r="B88" s="128"/>
      <c r="C88" s="105">
        <v>1.7500000000000002E-2</v>
      </c>
      <c r="D88" s="104">
        <v>79514.461214614188</v>
      </c>
      <c r="E88" s="2">
        <v>71914.597126691253</v>
      </c>
      <c r="F88" s="2">
        <v>65640.852840249718</v>
      </c>
    </row>
    <row r="91" spans="2:6" x14ac:dyDescent="0.3">
      <c r="C91" s="3" t="s">
        <v>363</v>
      </c>
    </row>
    <row r="93" spans="2:6" x14ac:dyDescent="0.3">
      <c r="F93" s="59" t="s">
        <v>278</v>
      </c>
    </row>
    <row r="94" spans="2:6" x14ac:dyDescent="0.3">
      <c r="B94" s="128" t="s">
        <v>280</v>
      </c>
      <c r="C94" s="106">
        <f>+C79</f>
        <v>53077.447913450451</v>
      </c>
      <c r="D94" s="107">
        <v>6.5000000000000002E-2</v>
      </c>
      <c r="E94" s="107">
        <v>7.0000000000000007E-2</v>
      </c>
      <c r="F94" s="107">
        <v>7.4999999999999997E-2</v>
      </c>
    </row>
    <row r="95" spans="2:6" x14ac:dyDescent="0.3">
      <c r="B95" s="128"/>
      <c r="C95" s="105">
        <v>1.2500000000000001E-2</v>
      </c>
      <c r="D95" s="103">
        <f t="dataTable" ref="D95:F97" dt2D="1" dtr="1" r1="C8" r2="C9" ca="1"/>
        <v>57189.060249372298</v>
      </c>
      <c r="E95" s="99">
        <v>50757.268197013109</v>
      </c>
      <c r="F95" s="99">
        <v>45358.942049093821</v>
      </c>
    </row>
    <row r="96" spans="2:6" x14ac:dyDescent="0.3">
      <c r="B96" s="128"/>
      <c r="C96" s="105">
        <v>1.4999999999999999E-2</v>
      </c>
      <c r="D96" s="104">
        <v>60053.025707862223</v>
      </c>
      <c r="E96" s="108">
        <v>53077.447913450451</v>
      </c>
      <c r="F96" s="2">
        <v>47268.857636522727</v>
      </c>
    </row>
    <row r="97" spans="2:6" x14ac:dyDescent="0.3">
      <c r="B97" s="128"/>
      <c r="C97" s="105">
        <v>1.7500000000000002E-2</v>
      </c>
      <c r="D97" s="104">
        <v>63218.461214614188</v>
      </c>
      <c r="E97" s="2">
        <v>55618.597126691253</v>
      </c>
      <c r="F97" s="2">
        <v>49344.852840249718</v>
      </c>
    </row>
  </sheetData>
  <mergeCells count="2">
    <mergeCell ref="B85:B88"/>
    <mergeCell ref="B94:B9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BF6AB-408C-4036-B30F-10F9B7A358D5}">
  <dimension ref="B2:K89"/>
  <sheetViews>
    <sheetView showGridLines="0" topLeftCell="A54" zoomScale="121" workbookViewId="0">
      <selection activeCell="B60" sqref="B60:C71"/>
    </sheetView>
  </sheetViews>
  <sheetFormatPr defaultColWidth="9.33203125" defaultRowHeight="12" x14ac:dyDescent="0.3"/>
  <cols>
    <col min="1" max="1" width="1.6640625" style="2" customWidth="1"/>
    <col min="2" max="2" width="37.6640625" style="8" bestFit="1" customWidth="1"/>
    <col min="3" max="10" width="10.44140625" style="2" customWidth="1"/>
    <col min="11" max="11" width="10.44140625" style="55" customWidth="1"/>
    <col min="12" max="16384" width="9.33203125" style="2"/>
  </cols>
  <sheetData>
    <row r="2" spans="2:11" s="1" customFormat="1" ht="15.5" x14ac:dyDescent="0.35">
      <c r="B2" s="6" t="s">
        <v>406</v>
      </c>
      <c r="K2" s="54"/>
    </row>
    <row r="3" spans="2:11" s="1" customFormat="1" ht="15.5" x14ac:dyDescent="0.35">
      <c r="B3" s="7" t="s">
        <v>296</v>
      </c>
      <c r="K3" s="54"/>
    </row>
    <row r="6" spans="2:11" x14ac:dyDescent="0.3">
      <c r="B6" s="66" t="s">
        <v>277</v>
      </c>
      <c r="C6" s="67"/>
    </row>
    <row r="7" spans="2:11" x14ac:dyDescent="0.3">
      <c r="B7" s="62" t="s">
        <v>279</v>
      </c>
      <c r="C7" s="63">
        <v>0.5</v>
      </c>
    </row>
    <row r="8" spans="2:11" x14ac:dyDescent="0.3">
      <c r="B8" s="62" t="s">
        <v>278</v>
      </c>
      <c r="C8" s="64">
        <v>7.0000000000000007E-2</v>
      </c>
    </row>
    <row r="9" spans="2:11" x14ac:dyDescent="0.3">
      <c r="B9" s="62" t="s">
        <v>280</v>
      </c>
      <c r="C9" s="64">
        <v>1.4999999999999999E-2</v>
      </c>
    </row>
    <row r="10" spans="2:11" x14ac:dyDescent="0.3">
      <c r="B10" s="62" t="s">
        <v>281</v>
      </c>
      <c r="C10" s="64">
        <v>0.24</v>
      </c>
    </row>
    <row r="11" spans="2:11" x14ac:dyDescent="0.3">
      <c r="B11" s="62" t="s">
        <v>282</v>
      </c>
      <c r="C11" s="64">
        <v>3.9E-2</v>
      </c>
    </row>
    <row r="13" spans="2:11" s="1" customFormat="1" ht="15.5" x14ac:dyDescent="0.35">
      <c r="B13" s="125" t="s">
        <v>296</v>
      </c>
      <c r="K13" s="54"/>
    </row>
    <row r="15" spans="2:11" s="5" customFormat="1" ht="12.5" thickBot="1" x14ac:dyDescent="0.35">
      <c r="B15" s="28" t="s">
        <v>268</v>
      </c>
      <c r="C15" s="45">
        <f>+'Actual data'!G8</f>
        <v>2017</v>
      </c>
      <c r="D15" s="45">
        <f t="shared" ref="D15:J15" si="0">+C15+1</f>
        <v>2018</v>
      </c>
      <c r="E15" s="45">
        <f t="shared" si="0"/>
        <v>2019</v>
      </c>
      <c r="F15" s="41">
        <f t="shared" si="0"/>
        <v>2020</v>
      </c>
      <c r="G15" s="42">
        <f t="shared" si="0"/>
        <v>2021</v>
      </c>
      <c r="H15" s="42">
        <f t="shared" si="0"/>
        <v>2022</v>
      </c>
      <c r="I15" s="42">
        <f t="shared" si="0"/>
        <v>2023</v>
      </c>
      <c r="J15" s="42">
        <f t="shared" si="0"/>
        <v>2024</v>
      </c>
      <c r="K15" s="56" t="s">
        <v>289</v>
      </c>
    </row>
    <row r="16" spans="2:11" ht="3.75" customHeight="1" x14ac:dyDescent="0.3">
      <c r="C16" s="46"/>
      <c r="D16" s="46"/>
      <c r="E16" s="46"/>
    </row>
    <row r="17" spans="2:11" x14ac:dyDescent="0.3">
      <c r="B17" s="8" t="s">
        <v>397</v>
      </c>
      <c r="C17" s="46">
        <f>+Proiezioni!C10</f>
        <v>29488</v>
      </c>
      <c r="D17" s="46">
        <f>+Proiezioni!D10</f>
        <v>31352</v>
      </c>
      <c r="E17" s="46">
        <f>+Proiezioni!E10</f>
        <v>32326</v>
      </c>
      <c r="F17" s="2">
        <f>+Proiezioni!F10</f>
        <v>33000</v>
      </c>
      <c r="G17" s="2">
        <f>+Proiezioni!G10</f>
        <v>33500</v>
      </c>
      <c r="H17" s="2">
        <f>+Proiezioni!H10</f>
        <v>33750</v>
      </c>
      <c r="I17" s="2">
        <f>+Proiezioni!I10</f>
        <v>34500</v>
      </c>
      <c r="J17" s="2">
        <f>+Proiezioni!J10</f>
        <v>34750</v>
      </c>
      <c r="K17" s="55">
        <f>+J17*(1+$C$9)</f>
        <v>35271.25</v>
      </c>
    </row>
    <row r="18" spans="2:11" x14ac:dyDescent="0.3">
      <c r="B18" s="8" t="s">
        <v>426</v>
      </c>
      <c r="C18" s="46">
        <f>+Proiezioni!C11</f>
        <v>126</v>
      </c>
      <c r="D18" s="46">
        <f>+Proiezioni!D11</f>
        <v>0</v>
      </c>
      <c r="E18" s="46">
        <f>+Proiezioni!E11</f>
        <v>48</v>
      </c>
      <c r="F18" s="2">
        <f>+Proiezioni!F11</f>
        <v>0</v>
      </c>
      <c r="G18" s="2">
        <f>+Proiezioni!G11</f>
        <v>0</v>
      </c>
      <c r="H18" s="2">
        <f>+Proiezioni!H11</f>
        <v>0</v>
      </c>
      <c r="I18" s="2">
        <f>+Proiezioni!I11</f>
        <v>0</v>
      </c>
      <c r="J18" s="2">
        <f>+Proiezioni!J11</f>
        <v>0</v>
      </c>
      <c r="K18" s="55">
        <f>+J18*(1+$C$9)</f>
        <v>0</v>
      </c>
    </row>
    <row r="19" spans="2:11" x14ac:dyDescent="0.3">
      <c r="B19" s="32" t="s">
        <v>407</v>
      </c>
      <c r="C19" s="47">
        <f t="shared" ref="C19:K19" si="1">+SUM(C17:C18)</f>
        <v>29614</v>
      </c>
      <c r="D19" s="47">
        <f t="shared" si="1"/>
        <v>31352</v>
      </c>
      <c r="E19" s="47">
        <f t="shared" si="1"/>
        <v>32374</v>
      </c>
      <c r="F19" s="33">
        <f t="shared" si="1"/>
        <v>33000</v>
      </c>
      <c r="G19" s="33">
        <f t="shared" si="1"/>
        <v>33500</v>
      </c>
      <c r="H19" s="33">
        <f t="shared" si="1"/>
        <v>33750</v>
      </c>
      <c r="I19" s="33">
        <f t="shared" si="1"/>
        <v>34500</v>
      </c>
      <c r="J19" s="33">
        <f t="shared" si="1"/>
        <v>34750</v>
      </c>
      <c r="K19" s="57">
        <f t="shared" si="1"/>
        <v>35271.25</v>
      </c>
    </row>
    <row r="20" spans="2:11" x14ac:dyDescent="0.3">
      <c r="B20" s="39" t="s">
        <v>411</v>
      </c>
      <c r="C20" s="49" t="str">
        <f>+IFERROR(C19/#REF!-1,"n.a.")</f>
        <v>n.a.</v>
      </c>
      <c r="D20" s="49">
        <f t="shared" ref="D20:K20" si="2">+IFERROR(D19/C19-1,"n.a.")</f>
        <v>5.8688458161680224E-2</v>
      </c>
      <c r="E20" s="49">
        <f t="shared" si="2"/>
        <v>3.2597601428935974E-2</v>
      </c>
      <c r="F20" s="40">
        <f t="shared" si="2"/>
        <v>1.9336504602458726E-2</v>
      </c>
      <c r="G20" s="40">
        <f t="shared" si="2"/>
        <v>1.5151515151515138E-2</v>
      </c>
      <c r="H20" s="40">
        <f t="shared" si="2"/>
        <v>7.4626865671640896E-3</v>
      </c>
      <c r="I20" s="40">
        <f t="shared" si="2"/>
        <v>2.2222222222222143E-2</v>
      </c>
      <c r="J20" s="40">
        <f t="shared" si="2"/>
        <v>7.2463768115942351E-3</v>
      </c>
      <c r="K20" s="40">
        <f t="shared" si="2"/>
        <v>1.4999999999999902E-2</v>
      </c>
    </row>
    <row r="21" spans="2:11" ht="3.75" customHeight="1" x14ac:dyDescent="0.3">
      <c r="C21" s="46"/>
      <c r="D21" s="46"/>
      <c r="E21" s="46"/>
    </row>
    <row r="22" spans="2:11" x14ac:dyDescent="0.3">
      <c r="B22" s="8" t="s">
        <v>399</v>
      </c>
      <c r="C22" s="46">
        <f>+Proiezioni!C15</f>
        <v>-710</v>
      </c>
      <c r="D22" s="46">
        <f>+Proiezioni!D15</f>
        <v>-775</v>
      </c>
      <c r="E22" s="46">
        <f>+Proiezioni!E15</f>
        <v>-882</v>
      </c>
      <c r="F22" s="2">
        <f>+Proiezioni!F15</f>
        <v>-900</v>
      </c>
      <c r="G22" s="2">
        <f>+Proiezioni!G15</f>
        <v>-910</v>
      </c>
      <c r="H22" s="2">
        <f>+Proiezioni!H15</f>
        <v>-920</v>
      </c>
      <c r="I22" s="2">
        <f>+Proiezioni!I15</f>
        <v>-930</v>
      </c>
      <c r="J22" s="2">
        <f>+Proiezioni!J15</f>
        <v>-940</v>
      </c>
      <c r="K22" s="55">
        <f>+J22*(1+$C$9)</f>
        <v>-954.09999999999991</v>
      </c>
    </row>
    <row r="23" spans="2:11" x14ac:dyDescent="0.3">
      <c r="B23" s="8" t="s">
        <v>400</v>
      </c>
      <c r="C23" s="46">
        <f>+Proiezioni!C16</f>
        <v>0</v>
      </c>
      <c r="D23" s="46">
        <f>+Proiezioni!D16</f>
        <v>0</v>
      </c>
      <c r="E23" s="46">
        <f>+Proiezioni!E16</f>
        <v>0</v>
      </c>
      <c r="F23" s="2">
        <f>+Proiezioni!F16</f>
        <v>0</v>
      </c>
      <c r="G23" s="2">
        <f>+Proiezioni!G16</f>
        <v>0</v>
      </c>
      <c r="H23" s="2">
        <f>+Proiezioni!H16</f>
        <v>0</v>
      </c>
      <c r="I23" s="2">
        <f>+Proiezioni!I16</f>
        <v>0</v>
      </c>
      <c r="J23" s="2">
        <f>+Proiezioni!J16</f>
        <v>0</v>
      </c>
      <c r="K23" s="55">
        <f>+J23*(1+$C$9)</f>
        <v>0</v>
      </c>
    </row>
    <row r="24" spans="2:11" x14ac:dyDescent="0.3">
      <c r="B24" s="8" t="s">
        <v>404</v>
      </c>
      <c r="C24" s="46">
        <f>+Proiezioni!C17</f>
        <v>-9650</v>
      </c>
      <c r="D24" s="46">
        <f>+Proiezioni!D17</f>
        <v>-11396</v>
      </c>
      <c r="E24" s="46">
        <f>+Proiezioni!E17</f>
        <v>-11688</v>
      </c>
      <c r="F24" s="2">
        <f>+Proiezioni!F17</f>
        <v>-12600</v>
      </c>
      <c r="G24" s="2">
        <f>+Proiezioni!G17</f>
        <v>-12800</v>
      </c>
      <c r="H24" s="2">
        <f>+Proiezioni!H17</f>
        <v>-12900</v>
      </c>
      <c r="I24" s="2">
        <f>+Proiezioni!I17</f>
        <v>-13100</v>
      </c>
      <c r="J24" s="2">
        <f>+Proiezioni!J17</f>
        <v>-13150</v>
      </c>
      <c r="K24" s="55">
        <f>+J24*(1+$C$9)</f>
        <v>-13347.249999999998</v>
      </c>
    </row>
    <row r="25" spans="2:11" x14ac:dyDescent="0.3">
      <c r="B25" s="8" t="s">
        <v>402</v>
      </c>
      <c r="C25" s="46">
        <f>+Proiezioni!C18</f>
        <v>-5041</v>
      </c>
      <c r="D25" s="46">
        <f>+Proiezioni!D18</f>
        <v>-5577</v>
      </c>
      <c r="E25" s="46">
        <f>+Proiezioni!E18</f>
        <v>-6083</v>
      </c>
      <c r="F25" s="2">
        <f>+Proiezioni!F18</f>
        <v>-5600</v>
      </c>
      <c r="G25" s="2">
        <f>+Proiezioni!G18</f>
        <v>-5600</v>
      </c>
      <c r="H25" s="2">
        <f>+Proiezioni!H18</f>
        <v>-5650</v>
      </c>
      <c r="I25" s="2">
        <f>+Proiezioni!I18</f>
        <v>-5675</v>
      </c>
      <c r="J25" s="2">
        <f>+Proiezioni!J18</f>
        <v>-5700</v>
      </c>
      <c r="K25" s="55">
        <f>+J25*(1+$C$9)</f>
        <v>-5785.4999999999991</v>
      </c>
    </row>
    <row r="26" spans="2:11" x14ac:dyDescent="0.3">
      <c r="B26" s="8" t="s">
        <v>403</v>
      </c>
      <c r="C26" s="46">
        <f>+Proiezioni!C19</f>
        <v>-1989</v>
      </c>
      <c r="D26" s="46">
        <f>+Proiezioni!D19</f>
        <v>-1665</v>
      </c>
      <c r="E26" s="46">
        <f>+Proiezioni!E19</f>
        <v>-1803</v>
      </c>
      <c r="F26" s="2">
        <f>+Proiezioni!F19</f>
        <v>-1800</v>
      </c>
      <c r="G26" s="2">
        <f>+Proiezioni!G19</f>
        <v>-1800</v>
      </c>
      <c r="H26" s="2">
        <f>+Proiezioni!H19</f>
        <v>-1800</v>
      </c>
      <c r="I26" s="2">
        <f>+Proiezioni!I19</f>
        <v>-1800</v>
      </c>
      <c r="J26" s="2">
        <f>+Proiezioni!J19</f>
        <v>-1800</v>
      </c>
      <c r="K26" s="55">
        <f>+J26*(1+$C$9)</f>
        <v>-1826.9999999999998</v>
      </c>
    </row>
    <row r="27" spans="2:11" x14ac:dyDescent="0.3">
      <c r="B27" s="32" t="s">
        <v>401</v>
      </c>
      <c r="C27" s="47">
        <f>+SUM(C22:C26)</f>
        <v>-17390</v>
      </c>
      <c r="D27" s="47">
        <f>+SUM(D22:D26)</f>
        <v>-19413</v>
      </c>
      <c r="E27" s="47">
        <f>+SUM(E22:E26)</f>
        <v>-20456</v>
      </c>
      <c r="F27" s="33">
        <f t="shared" ref="F27:K27" si="3">+SUM(F22:F26)</f>
        <v>-20900</v>
      </c>
      <c r="G27" s="33">
        <f t="shared" si="3"/>
        <v>-21110</v>
      </c>
      <c r="H27" s="33">
        <f t="shared" si="3"/>
        <v>-21270</v>
      </c>
      <c r="I27" s="33">
        <f t="shared" si="3"/>
        <v>-21505</v>
      </c>
      <c r="J27" s="33">
        <f t="shared" si="3"/>
        <v>-21590</v>
      </c>
      <c r="K27" s="57">
        <f t="shared" si="3"/>
        <v>-21913.85</v>
      </c>
    </row>
    <row r="28" spans="2:11" ht="3.75" customHeight="1" x14ac:dyDescent="0.3">
      <c r="C28" s="46"/>
      <c r="D28" s="46"/>
      <c r="E28" s="46"/>
    </row>
    <row r="29" spans="2:11" ht="12.5" thickBot="1" x14ac:dyDescent="0.35">
      <c r="B29" s="30" t="s">
        <v>264</v>
      </c>
      <c r="C29" s="48">
        <f>+C19+C27</f>
        <v>12224</v>
      </c>
      <c r="D29" s="48">
        <f>+D19+D27</f>
        <v>11939</v>
      </c>
      <c r="E29" s="48">
        <f>+E19+E27</f>
        <v>11918</v>
      </c>
      <c r="F29" s="31">
        <f t="shared" ref="F29:K29" si="4">+F19+F27</f>
        <v>12100</v>
      </c>
      <c r="G29" s="31">
        <f t="shared" si="4"/>
        <v>12390</v>
      </c>
      <c r="H29" s="31">
        <f t="shared" si="4"/>
        <v>12480</v>
      </c>
      <c r="I29" s="31">
        <f t="shared" si="4"/>
        <v>12995</v>
      </c>
      <c r="J29" s="31">
        <f t="shared" si="4"/>
        <v>13160</v>
      </c>
      <c r="K29" s="58">
        <f t="shared" si="4"/>
        <v>13357.400000000001</v>
      </c>
    </row>
    <row r="30" spans="2:11" x14ac:dyDescent="0.3">
      <c r="B30" s="39" t="s">
        <v>409</v>
      </c>
      <c r="C30" s="50">
        <f t="shared" ref="C30:K30" si="5">+C29/C$19</f>
        <v>0.41277774025798608</v>
      </c>
      <c r="D30" s="50">
        <f t="shared" si="5"/>
        <v>0.38080505230926259</v>
      </c>
      <c r="E30" s="50">
        <f t="shared" si="5"/>
        <v>0.36813492308642737</v>
      </c>
      <c r="F30" s="34">
        <f t="shared" si="5"/>
        <v>0.36666666666666664</v>
      </c>
      <c r="G30" s="34">
        <f t="shared" si="5"/>
        <v>0.36985074626865672</v>
      </c>
      <c r="H30" s="34">
        <f t="shared" si="5"/>
        <v>0.36977777777777776</v>
      </c>
      <c r="I30" s="34">
        <f t="shared" si="5"/>
        <v>0.37666666666666665</v>
      </c>
      <c r="J30" s="34">
        <f t="shared" si="5"/>
        <v>0.37870503597122301</v>
      </c>
      <c r="K30" s="40">
        <f t="shared" si="5"/>
        <v>0.37870503597122307</v>
      </c>
    </row>
    <row r="31" spans="2:11" ht="3.75" customHeight="1" x14ac:dyDescent="0.3">
      <c r="C31" s="46"/>
      <c r="D31" s="46"/>
      <c r="E31" s="46"/>
    </row>
    <row r="32" spans="2:11" x14ac:dyDescent="0.3">
      <c r="B32" s="8" t="s">
        <v>260</v>
      </c>
      <c r="C32" s="46">
        <f>+Proiezioni!C25</f>
        <v>-6532</v>
      </c>
      <c r="D32" s="46">
        <f>+Proiezioni!D25</f>
        <v>-6034</v>
      </c>
      <c r="E32" s="46">
        <f>+Proiezioni!E25</f>
        <v>-6193</v>
      </c>
      <c r="F32" s="2">
        <f>+Proiezioni!F25</f>
        <v>-6250</v>
      </c>
      <c r="G32" s="2">
        <f>+Proiezioni!G25</f>
        <v>-6400</v>
      </c>
      <c r="H32" s="2">
        <f>+Proiezioni!H25</f>
        <v>-6500</v>
      </c>
      <c r="I32" s="2">
        <f>+Proiezioni!I25</f>
        <v>-6550</v>
      </c>
      <c r="J32" s="2">
        <f>+Proiezioni!J25</f>
        <v>-6600</v>
      </c>
      <c r="K32" s="55">
        <f>+AVERAGE(Proiezioni!F90:J90)</f>
        <v>-7400</v>
      </c>
    </row>
    <row r="33" spans="2:11" x14ac:dyDescent="0.3">
      <c r="B33" s="8" t="s">
        <v>408</v>
      </c>
      <c r="C33" s="46">
        <f>+Proiezioni!C26</f>
        <v>-60</v>
      </c>
      <c r="D33" s="46">
        <f>+Proiezioni!D26</f>
        <v>0</v>
      </c>
      <c r="E33" s="46">
        <f>+Proiezioni!E26</f>
        <v>0</v>
      </c>
      <c r="F33" s="2">
        <f>+Proiezioni!F26</f>
        <v>0</v>
      </c>
      <c r="G33" s="2">
        <f>+Proiezioni!G26</f>
        <v>0</v>
      </c>
      <c r="H33" s="2">
        <f>+Proiezioni!H26</f>
        <v>0</v>
      </c>
      <c r="I33" s="2">
        <f>+Proiezioni!I26</f>
        <v>0</v>
      </c>
      <c r="J33" s="2">
        <f>+Proiezioni!J26</f>
        <v>0</v>
      </c>
      <c r="K33" s="55">
        <v>0</v>
      </c>
    </row>
    <row r="34" spans="2:11" ht="3.75" customHeight="1" x14ac:dyDescent="0.3">
      <c r="C34" s="46"/>
      <c r="D34" s="46"/>
      <c r="E34" s="46"/>
    </row>
    <row r="35" spans="2:11" ht="12.5" thickBot="1" x14ac:dyDescent="0.35">
      <c r="B35" s="30" t="s">
        <v>265</v>
      </c>
      <c r="C35" s="48">
        <f t="shared" ref="C35:K35" si="6">+C29+SUM(C32:C33)</f>
        <v>5632</v>
      </c>
      <c r="D35" s="48">
        <f t="shared" si="6"/>
        <v>5905</v>
      </c>
      <c r="E35" s="48">
        <f t="shared" si="6"/>
        <v>5725</v>
      </c>
      <c r="F35" s="31">
        <f t="shared" si="6"/>
        <v>5850</v>
      </c>
      <c r="G35" s="31">
        <f t="shared" si="6"/>
        <v>5990</v>
      </c>
      <c r="H35" s="31">
        <f t="shared" si="6"/>
        <v>5980</v>
      </c>
      <c r="I35" s="31">
        <f t="shared" si="6"/>
        <v>6445</v>
      </c>
      <c r="J35" s="31">
        <f t="shared" si="6"/>
        <v>6560</v>
      </c>
      <c r="K35" s="58">
        <f t="shared" si="6"/>
        <v>5957.4000000000015</v>
      </c>
    </row>
    <row r="36" spans="2:11" x14ac:dyDescent="0.3">
      <c r="B36" s="39" t="s">
        <v>409</v>
      </c>
      <c r="C36" s="50">
        <f t="shared" ref="C36:K36" si="7">+C35/C$19</f>
        <v>0.19018032011886271</v>
      </c>
      <c r="D36" s="50">
        <f t="shared" si="7"/>
        <v>0.18834524113294207</v>
      </c>
      <c r="E36" s="50">
        <f t="shared" si="7"/>
        <v>0.17683943905603261</v>
      </c>
      <c r="F36" s="34">
        <f t="shared" si="7"/>
        <v>0.17727272727272728</v>
      </c>
      <c r="G36" s="34">
        <f t="shared" si="7"/>
        <v>0.17880597014925373</v>
      </c>
      <c r="H36" s="34">
        <f t="shared" si="7"/>
        <v>0.1771851851851852</v>
      </c>
      <c r="I36" s="34">
        <f t="shared" si="7"/>
        <v>0.18681159420289856</v>
      </c>
      <c r="J36" s="34">
        <f t="shared" si="7"/>
        <v>0.18877697841726618</v>
      </c>
      <c r="K36" s="40">
        <f t="shared" si="7"/>
        <v>0.16890243470248437</v>
      </c>
    </row>
    <row r="37" spans="2:11" ht="3.75" customHeight="1" x14ac:dyDescent="0.3">
      <c r="C37" s="46"/>
      <c r="D37" s="46"/>
      <c r="E37" s="46"/>
    </row>
    <row r="38" spans="2:11" x14ac:dyDescent="0.3">
      <c r="B38" s="8" t="s">
        <v>282</v>
      </c>
      <c r="C38" s="46">
        <f>+MIN(0,-C35*$C$11)</f>
        <v>-219.648</v>
      </c>
      <c r="D38" s="46">
        <f t="shared" ref="D38:K38" si="8">+MIN(0,-D35*$C$11)</f>
        <v>-230.29499999999999</v>
      </c>
      <c r="E38" s="46">
        <f t="shared" si="8"/>
        <v>-223.27500000000001</v>
      </c>
      <c r="F38" s="2">
        <f t="shared" si="8"/>
        <v>-228.15</v>
      </c>
      <c r="G38" s="2">
        <f t="shared" si="8"/>
        <v>-233.61</v>
      </c>
      <c r="H38" s="2">
        <f t="shared" si="8"/>
        <v>-233.22</v>
      </c>
      <c r="I38" s="2">
        <f t="shared" si="8"/>
        <v>-251.35499999999999</v>
      </c>
      <c r="J38" s="2">
        <f t="shared" si="8"/>
        <v>-255.84</v>
      </c>
      <c r="K38" s="55">
        <f t="shared" si="8"/>
        <v>-232.33860000000007</v>
      </c>
    </row>
    <row r="39" spans="2:11" x14ac:dyDescent="0.3">
      <c r="B39" s="8" t="s">
        <v>281</v>
      </c>
      <c r="C39" s="46">
        <f>+MIN(0,-(C35+C38*0.1)*$C$10)</f>
        <v>-1346.4084479999999</v>
      </c>
      <c r="D39" s="46">
        <f t="shared" ref="D39:K39" si="9">+MIN(0,-(D35+D38*0.1)*$C$10)</f>
        <v>-1411.67292</v>
      </c>
      <c r="E39" s="46">
        <f t="shared" si="9"/>
        <v>-1368.6414</v>
      </c>
      <c r="F39" s="2">
        <f t="shared" si="9"/>
        <v>-1398.5244</v>
      </c>
      <c r="G39" s="2">
        <f t="shared" si="9"/>
        <v>-1431.9933599999999</v>
      </c>
      <c r="H39" s="2">
        <f t="shared" si="9"/>
        <v>-1429.6027199999999</v>
      </c>
      <c r="I39" s="2">
        <f t="shared" si="9"/>
        <v>-1540.76748</v>
      </c>
      <c r="J39" s="2">
        <f t="shared" si="9"/>
        <v>-1568.2598399999999</v>
      </c>
      <c r="K39" s="2">
        <f t="shared" si="9"/>
        <v>-1424.1998736000003</v>
      </c>
    </row>
    <row r="40" spans="2:11" x14ac:dyDescent="0.3">
      <c r="B40" s="32" t="s">
        <v>410</v>
      </c>
      <c r="C40" s="47">
        <f>+SUM(C38:C39)</f>
        <v>-1566.0564479999998</v>
      </c>
      <c r="D40" s="47">
        <f t="shared" ref="D40:K40" si="10">+SUM(D38:D39)</f>
        <v>-1641.96792</v>
      </c>
      <c r="E40" s="47">
        <f t="shared" si="10"/>
        <v>-1591.9164000000001</v>
      </c>
      <c r="F40" s="33">
        <f t="shared" si="10"/>
        <v>-1626.6744000000001</v>
      </c>
      <c r="G40" s="33">
        <f t="shared" si="10"/>
        <v>-1665.6033600000001</v>
      </c>
      <c r="H40" s="33">
        <f t="shared" si="10"/>
        <v>-1662.8227199999999</v>
      </c>
      <c r="I40" s="33">
        <f t="shared" si="10"/>
        <v>-1792.12248</v>
      </c>
      <c r="J40" s="33">
        <f t="shared" si="10"/>
        <v>-1824.0998399999999</v>
      </c>
      <c r="K40" s="57">
        <f t="shared" si="10"/>
        <v>-1656.5384736000003</v>
      </c>
    </row>
    <row r="41" spans="2:11" ht="3.75" customHeight="1" x14ac:dyDescent="0.3">
      <c r="C41" s="46"/>
      <c r="D41" s="46"/>
      <c r="E41" s="46"/>
    </row>
    <row r="42" spans="2:11" ht="12.5" thickBot="1" x14ac:dyDescent="0.35">
      <c r="B42" s="30" t="s">
        <v>283</v>
      </c>
      <c r="C42" s="48">
        <f>+C35+C40</f>
        <v>4065.9435520000002</v>
      </c>
      <c r="D42" s="48">
        <f t="shared" ref="D42:K42" si="11">+D35+D40</f>
        <v>4263.03208</v>
      </c>
      <c r="E42" s="48">
        <f t="shared" si="11"/>
        <v>4133.0835999999999</v>
      </c>
      <c r="F42" s="31">
        <f t="shared" si="11"/>
        <v>4223.3256000000001</v>
      </c>
      <c r="G42" s="31">
        <f t="shared" si="11"/>
        <v>4324.3966399999999</v>
      </c>
      <c r="H42" s="31">
        <f t="shared" si="11"/>
        <v>4317.1772799999999</v>
      </c>
      <c r="I42" s="31">
        <f t="shared" si="11"/>
        <v>4652.87752</v>
      </c>
      <c r="J42" s="31">
        <f t="shared" si="11"/>
        <v>4735.9001600000001</v>
      </c>
      <c r="K42" s="58">
        <f t="shared" si="11"/>
        <v>4300.8615264000009</v>
      </c>
    </row>
    <row r="43" spans="2:11" ht="3.75" customHeight="1" x14ac:dyDescent="0.3"/>
    <row r="44" spans="2:11" x14ac:dyDescent="0.3">
      <c r="B44" s="8" t="s">
        <v>279</v>
      </c>
      <c r="F44" s="52">
        <f>+$C$7</f>
        <v>0.5</v>
      </c>
      <c r="G44" s="52">
        <f>+F44+1</f>
        <v>1.5</v>
      </c>
      <c r="H44" s="52">
        <f t="shared" ref="H44:J44" si="12">+G44+1</f>
        <v>2.5</v>
      </c>
      <c r="I44" s="52">
        <f t="shared" si="12"/>
        <v>3.5</v>
      </c>
      <c r="J44" s="52">
        <f t="shared" si="12"/>
        <v>4.5</v>
      </c>
      <c r="K44" s="2"/>
    </row>
    <row r="45" spans="2:11" x14ac:dyDescent="0.3">
      <c r="B45" s="8" t="s">
        <v>286</v>
      </c>
      <c r="F45" s="53">
        <f>1/(1+$C$8)^F44</f>
        <v>0.96673648904566356</v>
      </c>
      <c r="G45" s="53">
        <f t="shared" ref="G45:J45" si="13">1/(1+$C$8)^G44</f>
        <v>0.90349204583706866</v>
      </c>
      <c r="H45" s="53">
        <f t="shared" si="13"/>
        <v>0.84438508956735392</v>
      </c>
      <c r="I45" s="53">
        <f t="shared" si="13"/>
        <v>0.78914494352089137</v>
      </c>
      <c r="J45" s="53">
        <f t="shared" si="13"/>
        <v>0.73751863880457136</v>
      </c>
      <c r="K45" s="2"/>
    </row>
    <row r="46" spans="2:11" ht="3.75" customHeight="1" x14ac:dyDescent="0.3">
      <c r="K46" s="2"/>
    </row>
    <row r="47" spans="2:11" ht="12.5" thickBot="1" x14ac:dyDescent="0.35">
      <c r="B47" s="30" t="s">
        <v>310</v>
      </c>
      <c r="C47" s="31"/>
      <c r="D47" s="31"/>
      <c r="E47" s="31"/>
      <c r="F47" s="31">
        <f>+F42*F45</f>
        <v>4082.8429626406705</v>
      </c>
      <c r="G47" s="31">
        <f t="shared" ref="G47:J47" si="14">+G42*G45</f>
        <v>3907.0579672845456</v>
      </c>
      <c r="H47" s="31">
        <f t="shared" si="14"/>
        <v>3645.3601242509453</v>
      </c>
      <c r="I47" s="31">
        <f t="shared" si="14"/>
        <v>3671.7947677300253</v>
      </c>
      <c r="J47" s="31">
        <f t="shared" si="14"/>
        <v>3492.8146395175518</v>
      </c>
      <c r="K47" s="2"/>
    </row>
    <row r="50" spans="2:11" x14ac:dyDescent="0.3">
      <c r="B50" s="32" t="s">
        <v>311</v>
      </c>
      <c r="C50" s="33">
        <f>+SUM(F47:J47)</f>
        <v>18799.870461423736</v>
      </c>
    </row>
    <row r="51" spans="2:11" ht="3.75" customHeight="1" x14ac:dyDescent="0.3">
      <c r="K51" s="2"/>
    </row>
    <row r="52" spans="2:11" x14ac:dyDescent="0.3">
      <c r="B52" s="8" t="s">
        <v>290</v>
      </c>
      <c r="C52" s="2">
        <f>+K42</f>
        <v>4300.8615264000009</v>
      </c>
    </row>
    <row r="53" spans="2:11" x14ac:dyDescent="0.3">
      <c r="B53" s="8" t="s">
        <v>291</v>
      </c>
      <c r="C53" s="2">
        <f>+C52/(C8-C9)</f>
        <v>78197.482298181829</v>
      </c>
    </row>
    <row r="54" spans="2:11" x14ac:dyDescent="0.3">
      <c r="B54" s="32" t="s">
        <v>292</v>
      </c>
      <c r="C54" s="33">
        <f>+C53*J45</f>
        <v>57672.100702499629</v>
      </c>
    </row>
    <row r="55" spans="2:11" ht="3.75" customHeight="1" x14ac:dyDescent="0.3">
      <c r="K55" s="2"/>
    </row>
    <row r="56" spans="2:11" s="3" customFormat="1" x14ac:dyDescent="0.3">
      <c r="B56" s="32" t="s">
        <v>416</v>
      </c>
      <c r="C56" s="33">
        <f>Proiezioni!E61</f>
        <v>-17</v>
      </c>
      <c r="K56" s="59"/>
    </row>
    <row r="57" spans="2:11" ht="3.75" customHeight="1" x14ac:dyDescent="0.3">
      <c r="K57" s="2"/>
    </row>
    <row r="58" spans="2:11" x14ac:dyDescent="0.3">
      <c r="B58" s="60" t="s">
        <v>293</v>
      </c>
      <c r="C58" s="61">
        <f>+C50+C54+C56</f>
        <v>76454.971163923357</v>
      </c>
    </row>
    <row r="60" spans="2:11" x14ac:dyDescent="0.3">
      <c r="B60" s="9" t="s">
        <v>294</v>
      </c>
    </row>
    <row r="61" spans="2:11" x14ac:dyDescent="0.3">
      <c r="B61" s="8" t="s">
        <v>417</v>
      </c>
      <c r="C61" s="2">
        <f>+Proiezioni!E67</f>
        <v>14006</v>
      </c>
    </row>
    <row r="62" spans="2:11" x14ac:dyDescent="0.3">
      <c r="B62" s="8" t="s">
        <v>418</v>
      </c>
      <c r="C62" s="2">
        <f>+Proiezioni!E68</f>
        <v>68813</v>
      </c>
    </row>
    <row r="63" spans="2:11" x14ac:dyDescent="0.3">
      <c r="B63" s="8" t="s">
        <v>259</v>
      </c>
      <c r="C63" s="2">
        <f>+Proiezioni!E69</f>
        <v>1310</v>
      </c>
    </row>
    <row r="64" spans="2:11" x14ac:dyDescent="0.3">
      <c r="B64" s="8" t="s">
        <v>419</v>
      </c>
      <c r="C64" s="2">
        <f>+Proiezioni!E70</f>
        <v>-23165</v>
      </c>
    </row>
    <row r="65" spans="2:11" x14ac:dyDescent="0.3">
      <c r="B65" s="8" t="s">
        <v>420</v>
      </c>
      <c r="C65" s="2">
        <f>+Proiezioni!E71</f>
        <v>0</v>
      </c>
    </row>
    <row r="66" spans="2:11" x14ac:dyDescent="0.3">
      <c r="B66" s="8" t="s">
        <v>258</v>
      </c>
      <c r="C66" s="2">
        <f>+Proiezioni!E72</f>
        <v>-101</v>
      </c>
    </row>
    <row r="67" spans="2:11" x14ac:dyDescent="0.3">
      <c r="B67" s="32" t="s">
        <v>423</v>
      </c>
      <c r="C67" s="33">
        <f>+SUM(C61:C66)</f>
        <v>60863</v>
      </c>
    </row>
    <row r="68" spans="2:11" ht="3.75" customHeight="1" x14ac:dyDescent="0.3">
      <c r="K68" s="2"/>
    </row>
    <row r="69" spans="2:11" x14ac:dyDescent="0.3">
      <c r="B69" s="32" t="s">
        <v>421</v>
      </c>
      <c r="C69" s="33">
        <f>+Proiezioni!E75</f>
        <v>-44567</v>
      </c>
    </row>
    <row r="70" spans="2:11" ht="3.75" customHeight="1" x14ac:dyDescent="0.3">
      <c r="K70" s="2"/>
    </row>
    <row r="71" spans="2:11" x14ac:dyDescent="0.3">
      <c r="B71" s="60" t="s">
        <v>295</v>
      </c>
      <c r="C71" s="61">
        <f>+C58-C67-C69</f>
        <v>60158.971163923357</v>
      </c>
    </row>
    <row r="74" spans="2:11" x14ac:dyDescent="0.3">
      <c r="C74" s="3" t="s">
        <v>362</v>
      </c>
    </row>
    <row r="76" spans="2:11" x14ac:dyDescent="0.3">
      <c r="F76" s="59" t="s">
        <v>278</v>
      </c>
    </row>
    <row r="77" spans="2:11" ht="12" customHeight="1" x14ac:dyDescent="0.3">
      <c r="B77" s="128" t="s">
        <v>280</v>
      </c>
      <c r="C77" s="106">
        <f>+C58</f>
        <v>76454.971163923357</v>
      </c>
      <c r="D77" s="107">
        <v>6.5000000000000002E-2</v>
      </c>
      <c r="E77" s="107">
        <v>7.0000000000000007E-2</v>
      </c>
      <c r="F77" s="107">
        <v>7.4999999999999997E-2</v>
      </c>
    </row>
    <row r="78" spans="2:11" x14ac:dyDescent="0.3">
      <c r="B78" s="128"/>
      <c r="C78" s="105">
        <v>1.2500000000000001E-2</v>
      </c>
      <c r="D78" s="103">
        <f t="dataTable" ref="D78:F80" dt2D="1" dtr="1" r1="C8" r2="C9"/>
        <v>80362.610767742124</v>
      </c>
      <c r="E78" s="99">
        <v>73642.839527759177</v>
      </c>
      <c r="F78" s="99">
        <v>67995.321359662281</v>
      </c>
    </row>
    <row r="79" spans="2:11" x14ac:dyDescent="0.3">
      <c r="B79" s="128"/>
      <c r="C79" s="105">
        <v>1.4999999999999999E-2</v>
      </c>
      <c r="D79" s="104">
        <v>83788.649541358434</v>
      </c>
      <c r="E79" s="108">
        <v>76454.971163923357</v>
      </c>
      <c r="F79" s="2">
        <v>70340.522306286744</v>
      </c>
    </row>
    <row r="80" spans="2:11" x14ac:dyDescent="0.3">
      <c r="B80" s="128"/>
      <c r="C80" s="105">
        <v>1.7500000000000002E-2</v>
      </c>
      <c r="D80" s="104">
        <v>87575.323975355335</v>
      </c>
      <c r="E80" s="2">
        <v>79534.924860674539</v>
      </c>
      <c r="F80" s="2">
        <v>72889.653770008939</v>
      </c>
    </row>
    <row r="83" spans="2:6" x14ac:dyDescent="0.3">
      <c r="C83" s="3" t="s">
        <v>363</v>
      </c>
    </row>
    <row r="85" spans="2:6" x14ac:dyDescent="0.3">
      <c r="F85" s="59" t="s">
        <v>278</v>
      </c>
    </row>
    <row r="86" spans="2:6" x14ac:dyDescent="0.3">
      <c r="B86" s="128" t="s">
        <v>280</v>
      </c>
      <c r="C86" s="106">
        <f>+C71</f>
        <v>60158.971163923357</v>
      </c>
      <c r="D86" s="107">
        <v>6.5000000000000002E-2</v>
      </c>
      <c r="E86" s="107">
        <v>7.0000000000000007E-2</v>
      </c>
      <c r="F86" s="107">
        <v>7.4999999999999997E-2</v>
      </c>
    </row>
    <row r="87" spans="2:6" x14ac:dyDescent="0.3">
      <c r="B87" s="128"/>
      <c r="C87" s="105">
        <v>1.2500000000000001E-2</v>
      </c>
      <c r="D87" s="103">
        <f t="dataTable" ref="D87:F89" dt2D="1" dtr="1" r1="C8" r2="C9" ca="1"/>
        <v>64066.610767742124</v>
      </c>
      <c r="E87" s="99">
        <v>57346.839527759177</v>
      </c>
      <c r="F87" s="99">
        <v>51699.321359662281</v>
      </c>
    </row>
    <row r="88" spans="2:6" x14ac:dyDescent="0.3">
      <c r="B88" s="128"/>
      <c r="C88" s="105">
        <v>1.4999999999999999E-2</v>
      </c>
      <c r="D88" s="104">
        <v>67492.649541358434</v>
      </c>
      <c r="E88" s="108">
        <v>60158.971163923357</v>
      </c>
      <c r="F88" s="2">
        <v>54044.522306286744</v>
      </c>
    </row>
    <row r="89" spans="2:6" x14ac:dyDescent="0.3">
      <c r="B89" s="128"/>
      <c r="C89" s="105">
        <v>1.7500000000000002E-2</v>
      </c>
      <c r="D89" s="104">
        <v>71279.323975355335</v>
      </c>
      <c r="E89" s="2">
        <v>63238.924860674539</v>
      </c>
      <c r="F89" s="2">
        <v>56593.653770008939</v>
      </c>
    </row>
  </sheetData>
  <mergeCells count="2">
    <mergeCell ref="B77:B80"/>
    <mergeCell ref="B86:B8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02F3E-156E-4CCF-81CC-9EE69CF2B9EE}">
  <dimension ref="B2:M98"/>
  <sheetViews>
    <sheetView showGridLines="0" topLeftCell="A55" zoomScale="162" workbookViewId="0">
      <selection activeCell="E85" sqref="E85"/>
    </sheetView>
  </sheetViews>
  <sheetFormatPr defaultColWidth="9.33203125" defaultRowHeight="12" x14ac:dyDescent="0.3"/>
  <cols>
    <col min="1" max="1" width="1.6640625" style="2" customWidth="1"/>
    <col min="2" max="2" width="37.6640625" style="8" bestFit="1" customWidth="1"/>
    <col min="3" max="3" width="10.44140625" style="2" customWidth="1"/>
    <col min="4" max="4" width="9.33203125" style="2" customWidth="1"/>
    <col min="5" max="16384" width="9.33203125" style="2"/>
  </cols>
  <sheetData>
    <row r="2" spans="2:3" s="1" customFormat="1" ht="15.5" x14ac:dyDescent="0.35">
      <c r="B2" s="6" t="s">
        <v>406</v>
      </c>
    </row>
    <row r="3" spans="2:3" s="1" customFormat="1" ht="15.5" x14ac:dyDescent="0.35">
      <c r="B3" s="7" t="s">
        <v>314</v>
      </c>
    </row>
    <row r="6" spans="2:3" s="1" customFormat="1" ht="15.5" x14ac:dyDescent="0.35">
      <c r="B6" s="125" t="s">
        <v>297</v>
      </c>
    </row>
    <row r="8" spans="2:3" s="5" customFormat="1" ht="12.5" thickBot="1" x14ac:dyDescent="0.35">
      <c r="B8" s="28" t="s">
        <v>268</v>
      </c>
      <c r="C8" s="29">
        <f>+Proiezioni!E45</f>
        <v>2019</v>
      </c>
    </row>
    <row r="9" spans="2:3" ht="3.75" customHeight="1" x14ac:dyDescent="0.3"/>
    <row r="10" spans="2:3" x14ac:dyDescent="0.3">
      <c r="B10" s="60" t="s">
        <v>427</v>
      </c>
      <c r="C10" s="61">
        <f>+Proiezioni!E63</f>
        <v>50925</v>
      </c>
    </row>
    <row r="11" spans="2:3" ht="3.75" customHeight="1" x14ac:dyDescent="0.3"/>
    <row r="12" spans="2:3" x14ac:dyDescent="0.3">
      <c r="B12" s="8" t="s">
        <v>424</v>
      </c>
      <c r="C12" s="2">
        <f>+Proiezioni!E73</f>
        <v>60863</v>
      </c>
    </row>
    <row r="13" spans="2:3" x14ac:dyDescent="0.3">
      <c r="B13" s="8" t="s">
        <v>429</v>
      </c>
      <c r="C13" s="2">
        <f>+Proiezioni!E75</f>
        <v>-44567</v>
      </c>
    </row>
    <row r="14" spans="2:3" x14ac:dyDescent="0.3">
      <c r="B14" s="8" t="s">
        <v>430</v>
      </c>
      <c r="C14" s="2">
        <f>+Proiezioni!E77</f>
        <v>-1832</v>
      </c>
    </row>
    <row r="15" spans="2:3" x14ac:dyDescent="0.3">
      <c r="B15" s="32" t="s">
        <v>294</v>
      </c>
      <c r="C15" s="33">
        <f>+SUM(C12:C14)</f>
        <v>14464</v>
      </c>
    </row>
    <row r="16" spans="2:3" ht="3.75" customHeight="1" x14ac:dyDescent="0.3">
      <c r="C16" s="46"/>
    </row>
    <row r="17" spans="2:13" x14ac:dyDescent="0.3">
      <c r="B17" s="60" t="s">
        <v>295</v>
      </c>
      <c r="C17" s="61">
        <f>+C10-C15</f>
        <v>36461</v>
      </c>
    </row>
    <row r="20" spans="2:13" s="1" customFormat="1" ht="15.5" x14ac:dyDescent="0.35">
      <c r="B20" s="125" t="s">
        <v>298</v>
      </c>
    </row>
    <row r="22" spans="2:13" ht="39" customHeight="1" thickBot="1" x14ac:dyDescent="0.35">
      <c r="B22" s="28" t="s">
        <v>268</v>
      </c>
      <c r="C22" s="68">
        <f>+C8</f>
        <v>2019</v>
      </c>
      <c r="D22" s="124" t="s">
        <v>299</v>
      </c>
      <c r="E22" s="124" t="s">
        <v>300</v>
      </c>
      <c r="F22" s="69" t="s">
        <v>301</v>
      </c>
    </row>
    <row r="23" spans="2:13" ht="3.75" customHeight="1" x14ac:dyDescent="0.3"/>
    <row r="24" spans="2:13" x14ac:dyDescent="0.3">
      <c r="B24" s="8" t="s">
        <v>432</v>
      </c>
      <c r="C24" s="2">
        <f>+Proiezioni!E50</f>
        <v>39778</v>
      </c>
      <c r="D24" s="46">
        <f>+-M24</f>
        <v>-5454</v>
      </c>
      <c r="E24" s="46">
        <f>+M25</f>
        <v>6500</v>
      </c>
      <c r="F24" s="2">
        <f>+SUM(C24:E24)</f>
        <v>40824</v>
      </c>
      <c r="I24" s="2" t="s">
        <v>302</v>
      </c>
      <c r="M24" s="43">
        <v>5454</v>
      </c>
    </row>
    <row r="25" spans="2:13" x14ac:dyDescent="0.3">
      <c r="B25" s="8" t="s">
        <v>433</v>
      </c>
      <c r="C25" s="2">
        <f>+Proiezioni!E57</f>
        <v>11153</v>
      </c>
      <c r="D25" s="46"/>
      <c r="E25" s="46"/>
      <c r="F25" s="2">
        <f t="shared" ref="F25:F27" si="0">+SUM(C25:E25)</f>
        <v>11153</v>
      </c>
      <c r="I25" s="2" t="s">
        <v>303</v>
      </c>
      <c r="M25" s="43">
        <v>6500</v>
      </c>
    </row>
    <row r="26" spans="2:13" x14ac:dyDescent="0.3">
      <c r="B26" s="8" t="s">
        <v>434</v>
      </c>
      <c r="C26" s="2">
        <f>+Proiezioni!E59</f>
        <v>11</v>
      </c>
      <c r="D26" s="46"/>
      <c r="E26" s="46"/>
      <c r="F26" s="2">
        <f t="shared" si="0"/>
        <v>11</v>
      </c>
    </row>
    <row r="27" spans="2:13" x14ac:dyDescent="0.3">
      <c r="B27" s="8" t="s">
        <v>416</v>
      </c>
      <c r="C27" s="2">
        <f>+Proiezioni!E61</f>
        <v>-17</v>
      </c>
      <c r="D27" s="46"/>
      <c r="E27" s="46"/>
      <c r="F27" s="2">
        <f t="shared" si="0"/>
        <v>-17</v>
      </c>
    </row>
    <row r="28" spans="2:13" x14ac:dyDescent="0.3">
      <c r="B28" s="60" t="s">
        <v>427</v>
      </c>
      <c r="C28" s="61">
        <f>+SUM(C24:C27)</f>
        <v>50925</v>
      </c>
      <c r="D28" s="61">
        <f t="shared" ref="D28:F28" si="1">+SUM(D24:D27)</f>
        <v>-5454</v>
      </c>
      <c r="E28" s="61">
        <f t="shared" si="1"/>
        <v>6500</v>
      </c>
      <c r="F28" s="61">
        <f t="shared" si="1"/>
        <v>51971</v>
      </c>
    </row>
    <row r="29" spans="2:13" ht="3.75" customHeight="1" x14ac:dyDescent="0.3"/>
    <row r="30" spans="2:13" x14ac:dyDescent="0.3">
      <c r="B30" s="8" t="s">
        <v>424</v>
      </c>
      <c r="F30" s="2">
        <f>+Proiezioni!E73</f>
        <v>60863</v>
      </c>
    </row>
    <row r="31" spans="2:13" x14ac:dyDescent="0.3">
      <c r="B31" s="8" t="s">
        <v>429</v>
      </c>
      <c r="F31" s="2">
        <f>+Proiezioni!E75</f>
        <v>-44567</v>
      </c>
    </row>
    <row r="32" spans="2:13" x14ac:dyDescent="0.3">
      <c r="B32" s="8" t="s">
        <v>430</v>
      </c>
      <c r="F32" s="2">
        <f>+Proiezioni!E77</f>
        <v>-1832</v>
      </c>
    </row>
    <row r="33" spans="2:13" x14ac:dyDescent="0.3">
      <c r="B33" s="32" t="s">
        <v>294</v>
      </c>
      <c r="C33" s="33"/>
      <c r="D33" s="33"/>
      <c r="E33" s="33"/>
      <c r="F33" s="33">
        <f>+SUM(F30:F32)</f>
        <v>14464</v>
      </c>
    </row>
    <row r="34" spans="2:13" ht="3.75" customHeight="1" x14ac:dyDescent="0.3">
      <c r="C34" s="46"/>
    </row>
    <row r="35" spans="2:13" x14ac:dyDescent="0.3">
      <c r="B35" s="60" t="s">
        <v>295</v>
      </c>
      <c r="C35" s="61"/>
      <c r="D35" s="61"/>
      <c r="E35" s="61"/>
      <c r="F35" s="61">
        <f t="shared" ref="F35" si="2">+F28-F33</f>
        <v>37507</v>
      </c>
    </row>
    <row r="38" spans="2:13" s="1" customFormat="1" ht="15.5" x14ac:dyDescent="0.35">
      <c r="B38" s="125" t="s">
        <v>304</v>
      </c>
    </row>
    <row r="40" spans="2:13" x14ac:dyDescent="0.3">
      <c r="B40" s="66" t="s">
        <v>277</v>
      </c>
      <c r="C40" s="67"/>
    </row>
    <row r="41" spans="2:13" x14ac:dyDescent="0.3">
      <c r="B41" s="62" t="s">
        <v>279</v>
      </c>
      <c r="C41" s="63">
        <v>0.5</v>
      </c>
    </row>
    <row r="42" spans="2:13" x14ac:dyDescent="0.3">
      <c r="B42" s="62" t="s">
        <v>278</v>
      </c>
      <c r="C42" s="64">
        <v>7.0000000000000007E-2</v>
      </c>
    </row>
    <row r="43" spans="2:13" x14ac:dyDescent="0.3">
      <c r="B43" s="62" t="s">
        <v>280</v>
      </c>
      <c r="C43" s="64">
        <v>1.4999999999999999E-2</v>
      </c>
    </row>
    <row r="44" spans="2:13" x14ac:dyDescent="0.3">
      <c r="B44" s="62" t="s">
        <v>308</v>
      </c>
      <c r="C44" s="63">
        <v>5</v>
      </c>
      <c r="D44" s="71"/>
    </row>
    <row r="45" spans="2:13" x14ac:dyDescent="0.3">
      <c r="B45" s="62" t="s">
        <v>281</v>
      </c>
      <c r="C45" s="64">
        <v>0.24</v>
      </c>
    </row>
    <row r="46" spans="2:13" x14ac:dyDescent="0.3">
      <c r="B46" s="62" t="s">
        <v>282</v>
      </c>
      <c r="C46" s="64">
        <v>3.9E-2</v>
      </c>
    </row>
    <row r="47" spans="2:13" x14ac:dyDescent="0.3">
      <c r="C47" s="73"/>
    </row>
    <row r="48" spans="2:13" ht="12.5" thickBot="1" x14ac:dyDescent="0.35">
      <c r="B48" s="28" t="s">
        <v>268</v>
      </c>
      <c r="C48" s="68">
        <f>+C22</f>
        <v>2019</v>
      </c>
      <c r="D48" s="41">
        <f t="shared" ref="D48:H48" si="3">+C48+1</f>
        <v>2020</v>
      </c>
      <c r="E48" s="42">
        <f t="shared" si="3"/>
        <v>2021</v>
      </c>
      <c r="F48" s="42">
        <f t="shared" si="3"/>
        <v>2022</v>
      </c>
      <c r="G48" s="42">
        <f t="shared" si="3"/>
        <v>2023</v>
      </c>
      <c r="H48" s="42">
        <f t="shared" si="3"/>
        <v>2024</v>
      </c>
      <c r="I48" s="70">
        <f t="shared" ref="I48:M48" si="4">+H48+1</f>
        <v>2025</v>
      </c>
      <c r="J48" s="70">
        <f t="shared" si="4"/>
        <v>2026</v>
      </c>
      <c r="K48" s="70">
        <f t="shared" si="4"/>
        <v>2027</v>
      </c>
      <c r="L48" s="70">
        <f t="shared" si="4"/>
        <v>2028</v>
      </c>
      <c r="M48" s="70">
        <f t="shared" si="4"/>
        <v>2029</v>
      </c>
    </row>
    <row r="49" spans="2:13" ht="3.75" customHeight="1" x14ac:dyDescent="0.3"/>
    <row r="50" spans="2:13" x14ac:dyDescent="0.3">
      <c r="B50" s="72" t="s">
        <v>427</v>
      </c>
      <c r="C50" s="2">
        <f>+Proiezioni!E63</f>
        <v>50925</v>
      </c>
      <c r="D50" s="2">
        <f>+Proiezioni!F63</f>
        <v>51683.310519403414</v>
      </c>
      <c r="E50" s="2">
        <f>+Proiezioni!G63</f>
        <v>52520.448153409292</v>
      </c>
      <c r="F50" s="2">
        <f>+Proiezioni!H63</f>
        <v>53136.844146367133</v>
      </c>
      <c r="G50" s="2">
        <f>+Proiezioni!I63</f>
        <v>55988.179902322721</v>
      </c>
      <c r="H50" s="2">
        <f>+Proiezioni!J63</f>
        <v>56526.304135731421</v>
      </c>
    </row>
    <row r="51" spans="2:13" x14ac:dyDescent="0.3">
      <c r="B51" s="72" t="s">
        <v>305</v>
      </c>
      <c r="C51" s="2">
        <f>+M25-M24</f>
        <v>1046</v>
      </c>
      <c r="D51" s="2">
        <f>+C51-$C$51/5</f>
        <v>836.8</v>
      </c>
      <c r="E51" s="2">
        <f>+D51-$C$51/5</f>
        <v>627.59999999999991</v>
      </c>
      <c r="F51" s="2">
        <f>+E51-$C$51/5</f>
        <v>418.39999999999992</v>
      </c>
      <c r="G51" s="2">
        <f>+F51-$C$51/5</f>
        <v>209.19999999999993</v>
      </c>
      <c r="H51" s="2">
        <f>+G51-$C$51/5</f>
        <v>0</v>
      </c>
    </row>
    <row r="52" spans="2:13" x14ac:dyDescent="0.3">
      <c r="B52" s="9" t="s">
        <v>428</v>
      </c>
      <c r="C52" s="3">
        <f>+SUM(C50:C51)</f>
        <v>51971</v>
      </c>
      <c r="D52" s="3">
        <f t="shared" ref="D52:H52" si="5">+SUM(D50:D51)</f>
        <v>52520.110519403417</v>
      </c>
      <c r="E52" s="3">
        <f t="shared" si="5"/>
        <v>53148.048153409291</v>
      </c>
      <c r="F52" s="3">
        <f t="shared" si="5"/>
        <v>53555.244146367135</v>
      </c>
      <c r="G52" s="3">
        <f t="shared" si="5"/>
        <v>56197.379902322718</v>
      </c>
      <c r="H52" s="3">
        <f t="shared" si="5"/>
        <v>56526.304135731421</v>
      </c>
      <c r="I52" s="3">
        <f>+H52*(1+$C$43)</f>
        <v>57374.198697767388</v>
      </c>
      <c r="J52" s="3">
        <f t="shared" ref="J52:M52" si="6">+I52*(1+$C$43)</f>
        <v>58234.811678233891</v>
      </c>
      <c r="K52" s="3">
        <f t="shared" si="6"/>
        <v>59108.333853407392</v>
      </c>
      <c r="L52" s="3">
        <f t="shared" si="6"/>
        <v>59994.958861208499</v>
      </c>
      <c r="M52" s="3">
        <f t="shared" si="6"/>
        <v>60894.88324412662</v>
      </c>
    </row>
    <row r="53" spans="2:13" ht="3.75" customHeight="1" x14ac:dyDescent="0.3"/>
    <row r="54" spans="2:13" x14ac:dyDescent="0.3">
      <c r="B54" s="32" t="s">
        <v>306</v>
      </c>
      <c r="C54" s="33"/>
      <c r="D54" s="33">
        <f>IF(D48&lt;=+$C$48+$C$44,D52*$C$42,0)</f>
        <v>3676.4077363582396</v>
      </c>
      <c r="E54" s="33">
        <f t="shared" ref="E54:M54" si="7">IF(E48&lt;=+$C$48+$C$44,E52*$C$42,0)</f>
        <v>3720.3633707386507</v>
      </c>
      <c r="F54" s="33">
        <f t="shared" si="7"/>
        <v>3748.8670902456997</v>
      </c>
      <c r="G54" s="33">
        <f t="shared" si="7"/>
        <v>3933.8165931625908</v>
      </c>
      <c r="H54" s="33">
        <f t="shared" si="7"/>
        <v>3956.8412895011998</v>
      </c>
      <c r="I54" s="33">
        <f t="shared" si="7"/>
        <v>0</v>
      </c>
      <c r="J54" s="33">
        <f t="shared" si="7"/>
        <v>0</v>
      </c>
      <c r="K54" s="33">
        <f t="shared" si="7"/>
        <v>0</v>
      </c>
      <c r="L54" s="33">
        <f t="shared" si="7"/>
        <v>0</v>
      </c>
      <c r="M54" s="33">
        <f t="shared" si="7"/>
        <v>0</v>
      </c>
    </row>
    <row r="56" spans="2:13" x14ac:dyDescent="0.3">
      <c r="B56" s="9" t="s">
        <v>265</v>
      </c>
      <c r="C56" s="3"/>
      <c r="D56" s="3">
        <f>+Proiezioni!F28</f>
        <v>5850</v>
      </c>
      <c r="E56" s="3">
        <f>+Proiezioni!G28</f>
        <v>5990</v>
      </c>
      <c r="F56" s="3">
        <f>+Proiezioni!H28</f>
        <v>5980</v>
      </c>
      <c r="G56" s="3">
        <f>+Proiezioni!I28</f>
        <v>6445</v>
      </c>
      <c r="H56" s="3">
        <f>+Proiezioni!J28</f>
        <v>6560</v>
      </c>
      <c r="I56" s="3">
        <f>+H56*(1+$C$43)</f>
        <v>6658.4</v>
      </c>
      <c r="J56" s="3">
        <f t="shared" ref="J56:M56" si="8">+I56*(1+$C$43)</f>
        <v>6758.2759999999989</v>
      </c>
      <c r="K56" s="3">
        <f t="shared" si="8"/>
        <v>6859.6501399999979</v>
      </c>
      <c r="L56" s="3">
        <f t="shared" si="8"/>
        <v>6962.544892099997</v>
      </c>
      <c r="M56" s="3">
        <f t="shared" si="8"/>
        <v>7066.9830654814959</v>
      </c>
    </row>
    <row r="57" spans="2:13" ht="3.75" customHeight="1" x14ac:dyDescent="0.3"/>
    <row r="58" spans="2:13" x14ac:dyDescent="0.3">
      <c r="B58" s="72" t="s">
        <v>282</v>
      </c>
      <c r="D58" s="2">
        <f>+MIN(0,-D56*$C$46)</f>
        <v>-228.15</v>
      </c>
      <c r="E58" s="2">
        <f t="shared" ref="E58:H58" si="9">+MIN(0,-E56*$C$46)</f>
        <v>-233.61</v>
      </c>
      <c r="F58" s="2">
        <f t="shared" si="9"/>
        <v>-233.22</v>
      </c>
      <c r="G58" s="2">
        <f t="shared" si="9"/>
        <v>-251.35499999999999</v>
      </c>
      <c r="H58" s="2">
        <f t="shared" si="9"/>
        <v>-255.84</v>
      </c>
      <c r="I58" s="2">
        <f t="shared" ref="I58:M58" si="10">+MIN(0,-I56*$C$46)</f>
        <v>-259.67759999999998</v>
      </c>
      <c r="J58" s="2">
        <f t="shared" si="10"/>
        <v>-263.57276399999995</v>
      </c>
      <c r="K58" s="2">
        <f t="shared" si="10"/>
        <v>-267.52635545999993</v>
      </c>
      <c r="L58" s="2">
        <f t="shared" si="10"/>
        <v>-271.53925079189986</v>
      </c>
      <c r="M58" s="2">
        <f t="shared" si="10"/>
        <v>-275.61233955377833</v>
      </c>
    </row>
    <row r="59" spans="2:13" x14ac:dyDescent="0.3">
      <c r="B59" s="72" t="s">
        <v>281</v>
      </c>
      <c r="D59" s="2">
        <f>+MIN(0,-(D56+D58*0.1)*$C$45)</f>
        <v>-1398.5244</v>
      </c>
      <c r="E59" s="2">
        <f t="shared" ref="E59:H59" si="11">+MIN(0,-(E56+E58*0.1)*$C$45)</f>
        <v>-1431.9933599999999</v>
      </c>
      <c r="F59" s="2">
        <f t="shared" si="11"/>
        <v>-1429.6027199999999</v>
      </c>
      <c r="G59" s="2">
        <f t="shared" si="11"/>
        <v>-1540.76748</v>
      </c>
      <c r="H59" s="2">
        <f t="shared" si="11"/>
        <v>-1568.2598399999999</v>
      </c>
      <c r="I59" s="2">
        <f t="shared" ref="I59" si="12">+MIN(0,-(I56+I58*0.1)*$C$45)</f>
        <v>-1591.7837376</v>
      </c>
      <c r="J59" s="2">
        <f t="shared" ref="J59" si="13">+MIN(0,-(J56+J58*0.1)*$C$45)</f>
        <v>-1615.6604936639997</v>
      </c>
      <c r="K59" s="2">
        <f t="shared" ref="K59" si="14">+MIN(0,-(K56+K58*0.1)*$C$45)</f>
        <v>-1639.8954010689592</v>
      </c>
      <c r="L59" s="2">
        <f t="shared" ref="L59" si="15">+MIN(0,-(L56+L58*0.1)*$C$45)</f>
        <v>-1664.4938320849935</v>
      </c>
      <c r="M59" s="2">
        <f t="shared" ref="M59" si="16">+MIN(0,-(M56+M58*0.1)*$C$45)</f>
        <v>-1689.4612395662682</v>
      </c>
    </row>
    <row r="60" spans="2:13" x14ac:dyDescent="0.3">
      <c r="B60" s="9" t="s">
        <v>410</v>
      </c>
      <c r="C60" s="3"/>
      <c r="D60" s="3">
        <f>+SUM(D58:D59)</f>
        <v>-1626.6744000000001</v>
      </c>
      <c r="E60" s="3">
        <f t="shared" ref="E60:H60" si="17">+SUM(E58:E59)</f>
        <v>-1665.6033600000001</v>
      </c>
      <c r="F60" s="3">
        <f t="shared" si="17"/>
        <v>-1662.8227199999999</v>
      </c>
      <c r="G60" s="3">
        <f t="shared" si="17"/>
        <v>-1792.12248</v>
      </c>
      <c r="H60" s="3">
        <f t="shared" si="17"/>
        <v>-1824.0998399999999</v>
      </c>
      <c r="I60" s="3">
        <f t="shared" ref="I60" si="18">+SUM(I58:I59)</f>
        <v>-1851.4613376</v>
      </c>
      <c r="J60" s="3">
        <f t="shared" ref="J60" si="19">+SUM(J58:J59)</f>
        <v>-1879.2332576639997</v>
      </c>
      <c r="K60" s="3">
        <f t="shared" ref="K60" si="20">+SUM(K58:K59)</f>
        <v>-1907.4217565289591</v>
      </c>
      <c r="L60" s="3">
        <f t="shared" ref="L60" si="21">+SUM(L58:L59)</f>
        <v>-1936.0330828768933</v>
      </c>
      <c r="M60" s="3">
        <f t="shared" ref="M60" si="22">+SUM(M58:M59)</f>
        <v>-1965.0735791200466</v>
      </c>
    </row>
    <row r="61" spans="2:13" ht="3.75" customHeight="1" x14ac:dyDescent="0.3"/>
    <row r="62" spans="2:13" x14ac:dyDescent="0.3">
      <c r="B62" s="32" t="s">
        <v>283</v>
      </c>
      <c r="C62" s="33"/>
      <c r="D62" s="33">
        <f t="shared" ref="D62:M62" si="23">IF(D48&lt;=+$C$48+$C$44,D56+D60,0)</f>
        <v>4223.3256000000001</v>
      </c>
      <c r="E62" s="33">
        <f t="shared" si="23"/>
        <v>4324.3966399999999</v>
      </c>
      <c r="F62" s="33">
        <f t="shared" si="23"/>
        <v>4317.1772799999999</v>
      </c>
      <c r="G62" s="33">
        <f t="shared" si="23"/>
        <v>4652.87752</v>
      </c>
      <c r="H62" s="33">
        <f t="shared" si="23"/>
        <v>4735.9001600000001</v>
      </c>
      <c r="I62" s="33">
        <f t="shared" si="23"/>
        <v>0</v>
      </c>
      <c r="J62" s="33">
        <f t="shared" si="23"/>
        <v>0</v>
      </c>
      <c r="K62" s="33">
        <f t="shared" si="23"/>
        <v>0</v>
      </c>
      <c r="L62" s="33">
        <f t="shared" si="23"/>
        <v>0</v>
      </c>
      <c r="M62" s="33">
        <f t="shared" si="23"/>
        <v>0</v>
      </c>
    </row>
    <row r="63" spans="2:13" ht="3.75" customHeight="1" x14ac:dyDescent="0.3"/>
    <row r="64" spans="2:13" ht="12.5" thickBot="1" x14ac:dyDescent="0.35">
      <c r="B64" s="30" t="s">
        <v>307</v>
      </c>
      <c r="C64" s="31"/>
      <c r="D64" s="31">
        <f>+D62-D54</f>
        <v>546.9178636417605</v>
      </c>
      <c r="E64" s="31">
        <f t="shared" ref="E64:M64" si="24">+E62-E54</f>
        <v>604.03326926134923</v>
      </c>
      <c r="F64" s="31">
        <f t="shared" si="24"/>
        <v>568.31018975430015</v>
      </c>
      <c r="G64" s="31">
        <f t="shared" si="24"/>
        <v>719.06092683740917</v>
      </c>
      <c r="H64" s="31">
        <f t="shared" si="24"/>
        <v>779.05887049880039</v>
      </c>
      <c r="I64" s="31">
        <f t="shared" si="24"/>
        <v>0</v>
      </c>
      <c r="J64" s="31">
        <f t="shared" si="24"/>
        <v>0</v>
      </c>
      <c r="K64" s="31">
        <f t="shared" si="24"/>
        <v>0</v>
      </c>
      <c r="L64" s="31">
        <f t="shared" si="24"/>
        <v>0</v>
      </c>
      <c r="M64" s="31">
        <f t="shared" si="24"/>
        <v>0</v>
      </c>
    </row>
    <row r="65" spans="2:13" ht="3.75" customHeight="1" x14ac:dyDescent="0.3"/>
    <row r="66" spans="2:13" x14ac:dyDescent="0.3">
      <c r="B66" s="8" t="s">
        <v>279</v>
      </c>
      <c r="D66" s="52">
        <f>+C41</f>
        <v>0.5</v>
      </c>
      <c r="E66" s="52">
        <f>+D66+1</f>
        <v>1.5</v>
      </c>
      <c r="F66" s="52">
        <f t="shared" ref="F66:M66" si="25">+E66+1</f>
        <v>2.5</v>
      </c>
      <c r="G66" s="52">
        <f t="shared" si="25"/>
        <v>3.5</v>
      </c>
      <c r="H66" s="52">
        <f t="shared" si="25"/>
        <v>4.5</v>
      </c>
      <c r="I66" s="52">
        <f t="shared" si="25"/>
        <v>5.5</v>
      </c>
      <c r="J66" s="52">
        <f t="shared" si="25"/>
        <v>6.5</v>
      </c>
      <c r="K66" s="52">
        <f t="shared" si="25"/>
        <v>7.5</v>
      </c>
      <c r="L66" s="52">
        <f t="shared" si="25"/>
        <v>8.5</v>
      </c>
      <c r="M66" s="52">
        <f t="shared" si="25"/>
        <v>9.5</v>
      </c>
    </row>
    <row r="67" spans="2:13" x14ac:dyDescent="0.3">
      <c r="B67" s="8" t="s">
        <v>286</v>
      </c>
      <c r="D67" s="53">
        <f>1/(1+$C$42)^D66</f>
        <v>0.96673648904566356</v>
      </c>
      <c r="E67" s="53">
        <f t="shared" ref="E67:M67" si="26">1/(1+$C$42)^E66</f>
        <v>0.90349204583706866</v>
      </c>
      <c r="F67" s="53">
        <f t="shared" si="26"/>
        <v>0.84438508956735392</v>
      </c>
      <c r="G67" s="53">
        <f t="shared" si="26"/>
        <v>0.78914494352089137</v>
      </c>
      <c r="H67" s="53">
        <f t="shared" si="26"/>
        <v>0.73751863880457136</v>
      </c>
      <c r="I67" s="53">
        <f t="shared" si="26"/>
        <v>0.68926975589212269</v>
      </c>
      <c r="J67" s="53">
        <f t="shared" si="26"/>
        <v>0.64417734195525478</v>
      </c>
      <c r="K67" s="53">
        <f t="shared" si="26"/>
        <v>0.60203489902360263</v>
      </c>
      <c r="L67" s="53">
        <f t="shared" si="26"/>
        <v>0.56264943833981551</v>
      </c>
      <c r="M67" s="53">
        <f t="shared" si="26"/>
        <v>0.52584059657926685</v>
      </c>
    </row>
    <row r="68" spans="2:13" ht="3.75" customHeight="1" x14ac:dyDescent="0.3"/>
    <row r="69" spans="2:13" ht="12.5" thickBot="1" x14ac:dyDescent="0.35">
      <c r="B69" s="30" t="s">
        <v>309</v>
      </c>
      <c r="C69" s="31"/>
      <c r="D69" s="31">
        <f>+D64*D67</f>
        <v>528.7254552933905</v>
      </c>
      <c r="E69" s="31">
        <f t="shared" ref="E69:M69" si="27">+E64*E67</f>
        <v>545.73925419858938</v>
      </c>
      <c r="F69" s="31">
        <f t="shared" si="27"/>
        <v>479.87265047772462</v>
      </c>
      <c r="G69" s="31">
        <f t="shared" si="27"/>
        <v>567.44329449718703</v>
      </c>
      <c r="H69" s="31">
        <f t="shared" si="27"/>
        <v>574.5704377189021</v>
      </c>
      <c r="I69" s="31">
        <f t="shared" si="27"/>
        <v>0</v>
      </c>
      <c r="J69" s="31">
        <f t="shared" si="27"/>
        <v>0</v>
      </c>
      <c r="K69" s="31">
        <f t="shared" si="27"/>
        <v>0</v>
      </c>
      <c r="L69" s="31">
        <f t="shared" si="27"/>
        <v>0</v>
      </c>
      <c r="M69" s="31">
        <f t="shared" si="27"/>
        <v>0</v>
      </c>
    </row>
    <row r="71" spans="2:13" x14ac:dyDescent="0.3">
      <c r="B71" s="8" t="s">
        <v>428</v>
      </c>
      <c r="C71" s="2">
        <f>+C52</f>
        <v>51971</v>
      </c>
    </row>
    <row r="72" spans="2:13" x14ac:dyDescent="0.3">
      <c r="B72" s="8" t="s">
        <v>312</v>
      </c>
      <c r="C72" s="2">
        <f>+SUM(D69:M69)</f>
        <v>2696.3510921857937</v>
      </c>
    </row>
    <row r="73" spans="2:13" x14ac:dyDescent="0.3">
      <c r="B73" s="60" t="s">
        <v>313</v>
      </c>
      <c r="C73" s="61">
        <f>+SUM(C71:C72)</f>
        <v>54667.351092185796</v>
      </c>
    </row>
    <row r="74" spans="2:13" ht="3.75" customHeight="1" x14ac:dyDescent="0.3"/>
    <row r="75" spans="2:13" x14ac:dyDescent="0.3">
      <c r="B75" s="8" t="s">
        <v>424</v>
      </c>
      <c r="C75" s="2">
        <f>+Proiezioni!E73</f>
        <v>60863</v>
      </c>
    </row>
    <row r="76" spans="2:13" x14ac:dyDescent="0.3">
      <c r="B76" s="8" t="s">
        <v>429</v>
      </c>
      <c r="C76" s="2">
        <f>+Proiezioni!E75</f>
        <v>-44567</v>
      </c>
    </row>
    <row r="77" spans="2:13" x14ac:dyDescent="0.3">
      <c r="B77" s="8" t="s">
        <v>430</v>
      </c>
      <c r="C77" s="2">
        <f>+Proiezioni!E77</f>
        <v>-1832</v>
      </c>
    </row>
    <row r="78" spans="2:13" x14ac:dyDescent="0.3">
      <c r="B78" s="32" t="s">
        <v>294</v>
      </c>
      <c r="C78" s="33">
        <f>+SUM(C75:C77)</f>
        <v>14464</v>
      </c>
    </row>
    <row r="79" spans="2:13" ht="3.75" customHeight="1" x14ac:dyDescent="0.3"/>
    <row r="80" spans="2:13" x14ac:dyDescent="0.3">
      <c r="B80" s="60" t="s">
        <v>295</v>
      </c>
      <c r="C80" s="61">
        <f>+C73-C78</f>
        <v>40203.351092185796</v>
      </c>
    </row>
    <row r="83" spans="2:6" x14ac:dyDescent="0.3">
      <c r="C83" s="3" t="s">
        <v>362</v>
      </c>
    </row>
    <row r="85" spans="2:6" x14ac:dyDescent="0.3">
      <c r="F85" s="59" t="s">
        <v>278</v>
      </c>
    </row>
    <row r="86" spans="2:6" x14ac:dyDescent="0.3">
      <c r="B86" s="128" t="s">
        <v>280</v>
      </c>
      <c r="C86" s="106">
        <f>+C73</f>
        <v>54667.351092185796</v>
      </c>
      <c r="D86" s="107">
        <v>6.5000000000000002E-2</v>
      </c>
      <c r="E86" s="107">
        <v>7.0000000000000007E-2</v>
      </c>
      <c r="F86" s="107">
        <v>7.4999999999999997E-2</v>
      </c>
    </row>
    <row r="87" spans="2:6" x14ac:dyDescent="0.3">
      <c r="B87" s="128"/>
      <c r="C87" s="105">
        <v>1.2500000000000001E-2</v>
      </c>
      <c r="D87" s="103">
        <f t="dataTable" ref="D87:F89" dt2D="1" dtr="1" r1="C42" r2="C43" ca="1"/>
        <v>55863.016376509579</v>
      </c>
      <c r="E87" s="99">
        <v>54667.351092185796</v>
      </c>
      <c r="F87" s="99">
        <v>53498.193310464441</v>
      </c>
    </row>
    <row r="88" spans="2:6" x14ac:dyDescent="0.3">
      <c r="B88" s="128"/>
      <c r="C88" s="105">
        <v>1.4999999999999999E-2</v>
      </c>
      <c r="D88" s="104">
        <v>55863.016376509579</v>
      </c>
      <c r="E88" s="108">
        <v>54667.351092185796</v>
      </c>
      <c r="F88" s="2">
        <v>53498.193310464441</v>
      </c>
    </row>
    <row r="89" spans="2:6" x14ac:dyDescent="0.3">
      <c r="B89" s="128"/>
      <c r="C89" s="105">
        <v>1.7500000000000002E-2</v>
      </c>
      <c r="D89" s="104">
        <v>55863.016376509579</v>
      </c>
      <c r="E89" s="2">
        <v>54667.351092185796</v>
      </c>
      <c r="F89" s="2">
        <v>53498.193310464441</v>
      </c>
    </row>
    <row r="92" spans="2:6" x14ac:dyDescent="0.3">
      <c r="C92" s="3" t="s">
        <v>363</v>
      </c>
    </row>
    <row r="94" spans="2:6" x14ac:dyDescent="0.3">
      <c r="F94" s="59" t="s">
        <v>278</v>
      </c>
    </row>
    <row r="95" spans="2:6" x14ac:dyDescent="0.3">
      <c r="B95" s="128" t="s">
        <v>280</v>
      </c>
      <c r="C95" s="106">
        <f>+C80</f>
        <v>40203.351092185796</v>
      </c>
      <c r="D95" s="107">
        <v>6.5000000000000002E-2</v>
      </c>
      <c r="E95" s="107">
        <v>7.0000000000000007E-2</v>
      </c>
      <c r="F95" s="107">
        <v>7.4999999999999997E-2</v>
      </c>
    </row>
    <row r="96" spans="2:6" x14ac:dyDescent="0.3">
      <c r="B96" s="128"/>
      <c r="C96" s="105">
        <v>1.2500000000000001E-2</v>
      </c>
      <c r="D96" s="103">
        <f t="dataTable" ref="D96:F98" dt2D="1" dtr="1" r1="C42" r2="C43"/>
        <v>41399.016376509579</v>
      </c>
      <c r="E96" s="99">
        <v>40203.351092185796</v>
      </c>
      <c r="F96" s="99">
        <v>39034.193310464441</v>
      </c>
    </row>
    <row r="97" spans="2:6" x14ac:dyDescent="0.3">
      <c r="B97" s="128"/>
      <c r="C97" s="105">
        <v>1.4999999999999999E-2</v>
      </c>
      <c r="D97" s="104">
        <v>41399.016376509579</v>
      </c>
      <c r="E97" s="108">
        <v>40203.351092185796</v>
      </c>
      <c r="F97" s="2">
        <v>39034.193310464441</v>
      </c>
    </row>
    <row r="98" spans="2:6" x14ac:dyDescent="0.3">
      <c r="B98" s="128"/>
      <c r="C98" s="105">
        <v>1.7500000000000002E-2</v>
      </c>
      <c r="D98" s="104">
        <v>41399.016376509579</v>
      </c>
      <c r="E98" s="2">
        <v>40203.351092185796</v>
      </c>
      <c r="F98" s="2">
        <v>39034.193310464441</v>
      </c>
    </row>
  </sheetData>
  <mergeCells count="2">
    <mergeCell ref="B86:B89"/>
    <mergeCell ref="B95:B9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182E5-F8EA-4BB5-823E-C59229C37CE2}">
  <dimension ref="B2:N54"/>
  <sheetViews>
    <sheetView showGridLines="0" topLeftCell="A60" zoomScale="147" workbookViewId="0">
      <selection activeCell="H60" sqref="H60"/>
    </sheetView>
  </sheetViews>
  <sheetFormatPr defaultColWidth="9.33203125" defaultRowHeight="12" x14ac:dyDescent="0.3"/>
  <cols>
    <col min="1" max="1" width="1.6640625" style="2" customWidth="1"/>
    <col min="2" max="2" width="31.77734375" style="8" bestFit="1" customWidth="1"/>
    <col min="3" max="3" width="10.44140625" style="2" customWidth="1"/>
    <col min="4" max="4" width="10.44140625" style="80" customWidth="1"/>
    <col min="5" max="5" width="10.44140625" style="2" customWidth="1"/>
    <col min="6" max="6" width="9.33203125" style="2" customWidth="1"/>
    <col min="7" max="7" width="9.33203125" style="2"/>
    <col min="8" max="8" width="12" style="2" customWidth="1"/>
    <col min="9" max="9" width="9.33203125" style="2"/>
    <col min="10" max="10" width="1.6640625" style="2" customWidth="1"/>
    <col min="11" max="12" width="9.33203125" style="2"/>
    <col min="13" max="13" width="1.6640625" style="2" customWidth="1"/>
    <col min="14" max="16384" width="9.33203125" style="2"/>
  </cols>
  <sheetData>
    <row r="2" spans="2:14" s="1" customFormat="1" ht="15.5" x14ac:dyDescent="0.35">
      <c r="B2" s="6" t="s">
        <v>406</v>
      </c>
      <c r="D2" s="79"/>
    </row>
    <row r="3" spans="2:14" s="1" customFormat="1" ht="15.5" x14ac:dyDescent="0.35">
      <c r="B3" s="7" t="s">
        <v>315</v>
      </c>
      <c r="D3" s="79"/>
    </row>
    <row r="6" spans="2:14" x14ac:dyDescent="0.3">
      <c r="B6" s="100" t="s">
        <v>352</v>
      </c>
    </row>
    <row r="8" spans="2:14" ht="36.5" thickBot="1" x14ac:dyDescent="0.35">
      <c r="B8" s="28" t="s">
        <v>268</v>
      </c>
      <c r="C8" s="75" t="s">
        <v>321</v>
      </c>
      <c r="D8" s="75" t="s">
        <v>336</v>
      </c>
      <c r="E8" s="74" t="s">
        <v>317</v>
      </c>
      <c r="F8" s="74" t="s">
        <v>318</v>
      </c>
      <c r="G8" s="74" t="s">
        <v>339</v>
      </c>
      <c r="H8" s="74" t="s">
        <v>423</v>
      </c>
      <c r="I8" s="82" t="s">
        <v>316</v>
      </c>
      <c r="K8" s="74" t="s">
        <v>264</v>
      </c>
      <c r="L8" s="82" t="s">
        <v>340</v>
      </c>
      <c r="N8" s="75" t="s">
        <v>337</v>
      </c>
    </row>
    <row r="9" spans="2:14" ht="3.75" customHeight="1" x14ac:dyDescent="0.3">
      <c r="C9" s="76"/>
      <c r="N9" s="76"/>
    </row>
    <row r="10" spans="2:14" x14ac:dyDescent="0.3">
      <c r="B10" s="91" t="s">
        <v>320</v>
      </c>
      <c r="C10" s="92" t="s">
        <v>338</v>
      </c>
      <c r="D10" s="93">
        <v>2018</v>
      </c>
      <c r="E10" s="94">
        <v>57</v>
      </c>
      <c r="F10" s="95">
        <v>1</v>
      </c>
      <c r="G10" s="94">
        <f>+E10/F10</f>
        <v>57</v>
      </c>
      <c r="H10" s="94">
        <v>12</v>
      </c>
      <c r="I10" s="96">
        <f>+SUM(G10:H10)</f>
        <v>69</v>
      </c>
      <c r="K10" s="94">
        <v>12.666661150000008</v>
      </c>
      <c r="L10" s="97">
        <f>IF($N10="Y",I10/K10,"n.a.")</f>
        <v>5.4473707935259608</v>
      </c>
      <c r="N10" s="98" t="s">
        <v>341</v>
      </c>
    </row>
    <row r="11" spans="2:14" x14ac:dyDescent="0.3">
      <c r="B11" s="91" t="s">
        <v>322</v>
      </c>
      <c r="C11" s="92" t="s">
        <v>338</v>
      </c>
      <c r="D11" s="93">
        <v>2016</v>
      </c>
      <c r="E11" s="94">
        <v>124</v>
      </c>
      <c r="F11" s="95">
        <v>1</v>
      </c>
      <c r="G11" s="94">
        <f t="shared" ref="G11:G24" si="0">+E11/F11</f>
        <v>124</v>
      </c>
      <c r="H11" s="94">
        <v>55</v>
      </c>
      <c r="I11" s="96">
        <f t="shared" ref="I11:I24" si="1">+SUM(G11:H11)</f>
        <v>179</v>
      </c>
      <c r="K11" s="94">
        <v>34.102549250000017</v>
      </c>
      <c r="L11" s="97">
        <f t="shared" ref="L11:L24" si="2">IF($N11="Y",I11/K11,"n.a.")</f>
        <v>5.2488744664740841</v>
      </c>
      <c r="N11" s="98" t="s">
        <v>341</v>
      </c>
    </row>
    <row r="12" spans="2:14" x14ac:dyDescent="0.3">
      <c r="B12" s="91" t="s">
        <v>323</v>
      </c>
      <c r="C12" s="92" t="s">
        <v>338</v>
      </c>
      <c r="D12" s="93">
        <v>2015</v>
      </c>
      <c r="E12" s="94">
        <v>250</v>
      </c>
      <c r="F12" s="95">
        <v>1</v>
      </c>
      <c r="G12" s="94">
        <f t="shared" si="0"/>
        <v>250</v>
      </c>
      <c r="H12" s="94">
        <v>-45</v>
      </c>
      <c r="I12" s="96">
        <f t="shared" si="1"/>
        <v>205</v>
      </c>
      <c r="K12" s="94">
        <v>47.743568950000025</v>
      </c>
      <c r="L12" s="97">
        <f t="shared" si="2"/>
        <v>4.2937720096855037</v>
      </c>
      <c r="N12" s="98" t="s">
        <v>341</v>
      </c>
    </row>
    <row r="13" spans="2:14" x14ac:dyDescent="0.3">
      <c r="B13" s="91" t="s">
        <v>324</v>
      </c>
      <c r="C13" s="92" t="s">
        <v>338</v>
      </c>
      <c r="D13" s="93">
        <v>2012</v>
      </c>
      <c r="E13" s="94">
        <v>55</v>
      </c>
      <c r="F13" s="95">
        <v>0.75</v>
      </c>
      <c r="G13" s="94">
        <f t="shared" si="0"/>
        <v>73.333333333333329</v>
      </c>
      <c r="H13" s="94">
        <v>-30</v>
      </c>
      <c r="I13" s="96">
        <f t="shared" si="1"/>
        <v>43.333333333333329</v>
      </c>
      <c r="K13" s="94">
        <v>-20.461529550000009</v>
      </c>
      <c r="L13" s="97" t="str">
        <f t="shared" si="2"/>
        <v>n.a.</v>
      </c>
      <c r="N13" s="98" t="s">
        <v>342</v>
      </c>
    </row>
    <row r="14" spans="2:14" x14ac:dyDescent="0.3">
      <c r="B14" s="91" t="s">
        <v>325</v>
      </c>
      <c r="C14" s="92" t="s">
        <v>338</v>
      </c>
      <c r="D14" s="93">
        <v>2019</v>
      </c>
      <c r="E14" s="94">
        <v>43</v>
      </c>
      <c r="F14" s="95">
        <v>0.51</v>
      </c>
      <c r="G14" s="94">
        <f t="shared" si="0"/>
        <v>84.313725490196077</v>
      </c>
      <c r="H14" s="94">
        <v>11</v>
      </c>
      <c r="I14" s="96">
        <f t="shared" si="1"/>
        <v>95.313725490196077</v>
      </c>
      <c r="K14" s="94">
        <v>20.461529550000009</v>
      </c>
      <c r="L14" s="97">
        <f t="shared" si="2"/>
        <v>4.6581916203911566</v>
      </c>
      <c r="N14" s="98" t="s">
        <v>341</v>
      </c>
    </row>
    <row r="15" spans="2:14" x14ac:dyDescent="0.3">
      <c r="B15" s="91" t="s">
        <v>326</v>
      </c>
      <c r="C15" s="92" t="s">
        <v>343</v>
      </c>
      <c r="D15" s="93">
        <v>2018</v>
      </c>
      <c r="E15" s="94">
        <v>78</v>
      </c>
      <c r="F15" s="95">
        <v>0.51</v>
      </c>
      <c r="G15" s="94">
        <f t="shared" si="0"/>
        <v>152.94117647058823</v>
      </c>
      <c r="H15" s="94">
        <v>27</v>
      </c>
      <c r="I15" s="96">
        <f t="shared" si="1"/>
        <v>179.94117647058823</v>
      </c>
      <c r="K15" s="94">
        <v>34.102549250000017</v>
      </c>
      <c r="L15" s="97">
        <f t="shared" si="2"/>
        <v>5.2764728862780883</v>
      </c>
      <c r="N15" s="98" t="s">
        <v>341</v>
      </c>
    </row>
    <row r="16" spans="2:14" x14ac:dyDescent="0.3">
      <c r="B16" s="91" t="s">
        <v>327</v>
      </c>
      <c r="C16" s="92" t="s">
        <v>338</v>
      </c>
      <c r="D16" s="93">
        <v>2018</v>
      </c>
      <c r="E16" s="94">
        <v>92</v>
      </c>
      <c r="F16" s="95">
        <v>0.3</v>
      </c>
      <c r="G16" s="94">
        <f t="shared" si="0"/>
        <v>306.66666666666669</v>
      </c>
      <c r="H16" s="94">
        <v>-5</v>
      </c>
      <c r="I16" s="96">
        <f t="shared" si="1"/>
        <v>301.66666666666669</v>
      </c>
      <c r="K16" s="94">
        <v>70.153815600000016</v>
      </c>
      <c r="L16" s="97">
        <f t="shared" si="2"/>
        <v>4.3000749722110143</v>
      </c>
      <c r="N16" s="98" t="s">
        <v>341</v>
      </c>
    </row>
    <row r="17" spans="2:14" x14ac:dyDescent="0.3">
      <c r="B17" s="91" t="s">
        <v>328</v>
      </c>
      <c r="C17" s="92" t="s">
        <v>338</v>
      </c>
      <c r="D17" s="93">
        <v>2017</v>
      </c>
      <c r="E17" s="94">
        <v>65</v>
      </c>
      <c r="F17" s="95">
        <v>1</v>
      </c>
      <c r="G17" s="94">
        <f t="shared" si="0"/>
        <v>65</v>
      </c>
      <c r="H17" s="94">
        <v>-2</v>
      </c>
      <c r="I17" s="96">
        <f t="shared" si="1"/>
        <v>63</v>
      </c>
      <c r="K17" s="94">
        <v>-8.769226950000002</v>
      </c>
      <c r="L17" s="97" t="str">
        <f t="shared" si="2"/>
        <v>n.a.</v>
      </c>
      <c r="N17" s="98" t="s">
        <v>342</v>
      </c>
    </row>
    <row r="18" spans="2:14" x14ac:dyDescent="0.3">
      <c r="B18" s="91" t="s">
        <v>329</v>
      </c>
      <c r="C18" s="92" t="s">
        <v>338</v>
      </c>
      <c r="D18" s="93">
        <v>2016</v>
      </c>
      <c r="E18" s="94">
        <v>45</v>
      </c>
      <c r="F18" s="95">
        <v>0.8</v>
      </c>
      <c r="G18" s="94">
        <f t="shared" si="0"/>
        <v>56.25</v>
      </c>
      <c r="H18" s="94">
        <v>55</v>
      </c>
      <c r="I18" s="96">
        <f t="shared" si="1"/>
        <v>111.25</v>
      </c>
      <c r="K18" s="94">
        <v>0.97435855000000071</v>
      </c>
      <c r="L18" s="97" t="str">
        <f t="shared" si="2"/>
        <v>n.a.</v>
      </c>
      <c r="N18" s="98" t="s">
        <v>342</v>
      </c>
    </row>
    <row r="19" spans="2:14" x14ac:dyDescent="0.3">
      <c r="B19" s="91" t="s">
        <v>330</v>
      </c>
      <c r="C19" s="92" t="s">
        <v>343</v>
      </c>
      <c r="D19" s="93">
        <v>2014</v>
      </c>
      <c r="E19" s="94">
        <v>511</v>
      </c>
      <c r="F19" s="95">
        <v>0.95</v>
      </c>
      <c r="G19" s="94">
        <f t="shared" si="0"/>
        <v>537.89473684210532</v>
      </c>
      <c r="H19" s="94">
        <v>125</v>
      </c>
      <c r="I19" s="96">
        <f t="shared" si="1"/>
        <v>662.89473684210532</v>
      </c>
      <c r="K19" s="94">
        <v>140.30763120000003</v>
      </c>
      <c r="L19" s="97" t="str">
        <f t="shared" si="2"/>
        <v>n.a.</v>
      </c>
      <c r="N19" s="98" t="s">
        <v>342</v>
      </c>
    </row>
    <row r="20" spans="2:14" x14ac:dyDescent="0.3">
      <c r="B20" s="91" t="s">
        <v>331</v>
      </c>
      <c r="C20" s="92" t="s">
        <v>343</v>
      </c>
      <c r="D20" s="93">
        <v>2011</v>
      </c>
      <c r="E20" s="94">
        <v>450</v>
      </c>
      <c r="F20" s="95">
        <v>1</v>
      </c>
      <c r="G20" s="94">
        <f t="shared" si="0"/>
        <v>450</v>
      </c>
      <c r="H20" s="94">
        <v>125</v>
      </c>
      <c r="I20" s="96">
        <f t="shared" si="1"/>
        <v>575</v>
      </c>
      <c r="K20" s="94">
        <v>8.769226950000002</v>
      </c>
      <c r="L20" s="97" t="str">
        <f t="shared" si="2"/>
        <v>n.a.</v>
      </c>
      <c r="N20" s="98" t="s">
        <v>342</v>
      </c>
    </row>
    <row r="21" spans="2:14" x14ac:dyDescent="0.3">
      <c r="B21" s="91" t="s">
        <v>332</v>
      </c>
      <c r="C21" s="92" t="s">
        <v>338</v>
      </c>
      <c r="D21" s="93">
        <v>2012</v>
      </c>
      <c r="E21" s="94">
        <v>200</v>
      </c>
      <c r="F21" s="95">
        <v>0.85</v>
      </c>
      <c r="G21" s="94">
        <f t="shared" si="0"/>
        <v>235.29411764705884</v>
      </c>
      <c r="H21" s="94">
        <v>46</v>
      </c>
      <c r="I21" s="96">
        <f t="shared" si="1"/>
        <v>281.29411764705884</v>
      </c>
      <c r="K21" s="94">
        <v>66.256381400000038</v>
      </c>
      <c r="L21" s="97" t="str">
        <f t="shared" si="2"/>
        <v>n.a.</v>
      </c>
      <c r="N21" s="98" t="s">
        <v>342</v>
      </c>
    </row>
    <row r="22" spans="2:14" x14ac:dyDescent="0.3">
      <c r="B22" s="91" t="s">
        <v>333</v>
      </c>
      <c r="C22" s="92" t="s">
        <v>338</v>
      </c>
      <c r="D22" s="93">
        <v>2018</v>
      </c>
      <c r="E22" s="94">
        <v>211</v>
      </c>
      <c r="F22" s="95">
        <v>0.75</v>
      </c>
      <c r="G22" s="94">
        <f t="shared" si="0"/>
        <v>281.33333333333331</v>
      </c>
      <c r="H22" s="94">
        <v>48</v>
      </c>
      <c r="I22" s="96">
        <f t="shared" si="1"/>
        <v>329.33333333333331</v>
      </c>
      <c r="K22" s="94">
        <v>-6.820509850000005</v>
      </c>
      <c r="L22" s="97" t="str">
        <f t="shared" si="2"/>
        <v>n.a.</v>
      </c>
      <c r="N22" s="98" t="s">
        <v>342</v>
      </c>
    </row>
    <row r="23" spans="2:14" x14ac:dyDescent="0.3">
      <c r="B23" s="91" t="s">
        <v>334</v>
      </c>
      <c r="C23" s="92" t="s">
        <v>338</v>
      </c>
      <c r="D23" s="93">
        <v>2019</v>
      </c>
      <c r="E23" s="94">
        <v>205</v>
      </c>
      <c r="F23" s="95">
        <v>0.51</v>
      </c>
      <c r="G23" s="94">
        <f t="shared" si="0"/>
        <v>401.96078431372547</v>
      </c>
      <c r="H23" s="94">
        <v>30</v>
      </c>
      <c r="I23" s="96">
        <f t="shared" si="1"/>
        <v>431.96078431372547</v>
      </c>
      <c r="K23" s="94">
        <v>82.820476750000054</v>
      </c>
      <c r="L23" s="97">
        <f t="shared" si="2"/>
        <v>5.2156278406562686</v>
      </c>
      <c r="N23" s="98" t="s">
        <v>341</v>
      </c>
    </row>
    <row r="24" spans="2:14" x14ac:dyDescent="0.3">
      <c r="B24" s="65" t="s">
        <v>335</v>
      </c>
      <c r="C24" s="77" t="s">
        <v>343</v>
      </c>
      <c r="D24" s="81">
        <v>2019</v>
      </c>
      <c r="E24" s="67">
        <v>55</v>
      </c>
      <c r="F24" s="78">
        <v>0.3</v>
      </c>
      <c r="G24" s="67">
        <f t="shared" si="0"/>
        <v>183.33333333333334</v>
      </c>
      <c r="H24" s="67">
        <v>-25</v>
      </c>
      <c r="I24" s="83">
        <f t="shared" si="1"/>
        <v>158.33333333333334</v>
      </c>
      <c r="K24" s="67">
        <v>29.230756500000016</v>
      </c>
      <c r="L24" s="86">
        <f t="shared" si="2"/>
        <v>5.4166690257685683</v>
      </c>
      <c r="N24" s="87" t="s">
        <v>341</v>
      </c>
    </row>
    <row r="25" spans="2:14" x14ac:dyDescent="0.3">
      <c r="B25" s="9" t="s">
        <v>344</v>
      </c>
      <c r="L25" s="111">
        <f>+AVERAGE(L10:L24)</f>
        <v>4.9821317018738309</v>
      </c>
    </row>
    <row r="26" spans="2:14" x14ac:dyDescent="0.3">
      <c r="B26" s="9" t="s">
        <v>345</v>
      </c>
      <c r="L26" s="111">
        <f>+MEDIAN(L10:L24)</f>
        <v>5.2322511535651763</v>
      </c>
    </row>
    <row r="27" spans="2:14" x14ac:dyDescent="0.3">
      <c r="B27" s="9" t="s">
        <v>346</v>
      </c>
      <c r="L27" s="111">
        <f>+QUARTILE(L10:L24,1)</f>
        <v>4.5686624583461208</v>
      </c>
    </row>
    <row r="28" spans="2:14" ht="12.5" thickBot="1" x14ac:dyDescent="0.35">
      <c r="B28" s="90" t="s">
        <v>347</v>
      </c>
      <c r="C28" s="88"/>
      <c r="D28" s="89"/>
      <c r="E28" s="88"/>
      <c r="F28" s="88"/>
      <c r="G28" s="88"/>
      <c r="H28" s="88"/>
      <c r="I28" s="88"/>
      <c r="K28" s="88"/>
      <c r="L28" s="112">
        <f>+QUARTILE(L10:L24,3)</f>
        <v>5.3115219211507085</v>
      </c>
      <c r="N28" s="88"/>
    </row>
    <row r="29" spans="2:14" x14ac:dyDescent="0.3">
      <c r="N29" s="101" t="s">
        <v>358</v>
      </c>
    </row>
    <row r="30" spans="2:14" x14ac:dyDescent="0.3">
      <c r="B30" s="9" t="s">
        <v>348</v>
      </c>
    </row>
    <row r="31" spans="2:14" x14ac:dyDescent="0.3">
      <c r="B31" s="72" t="s">
        <v>349</v>
      </c>
    </row>
    <row r="32" spans="2:14" x14ac:dyDescent="0.3">
      <c r="B32" s="72" t="s">
        <v>350</v>
      </c>
    </row>
    <row r="33" spans="2:14" x14ac:dyDescent="0.3">
      <c r="B33" s="72" t="s">
        <v>351</v>
      </c>
    </row>
    <row r="36" spans="2:14" x14ac:dyDescent="0.3">
      <c r="B36" s="100" t="s">
        <v>353</v>
      </c>
    </row>
    <row r="38" spans="2:14" ht="12.5" thickBot="1" x14ac:dyDescent="0.35">
      <c r="B38" s="28" t="s">
        <v>268</v>
      </c>
      <c r="C38" s="75" t="s">
        <v>359</v>
      </c>
      <c r="D38" s="75" t="s">
        <v>360</v>
      </c>
      <c r="E38" s="74" t="s">
        <v>361</v>
      </c>
    </row>
    <row r="39" spans="2:14" ht="3.75" customHeight="1" x14ac:dyDescent="0.3">
      <c r="C39" s="76"/>
      <c r="N39" s="76"/>
    </row>
    <row r="40" spans="2:14" x14ac:dyDescent="0.3">
      <c r="B40" s="8" t="s">
        <v>354</v>
      </c>
      <c r="C40" s="2">
        <f>+Proiezioni!$E$22</f>
        <v>11918</v>
      </c>
      <c r="D40" s="2">
        <f>+Proiezioni!$E$22</f>
        <v>11918</v>
      </c>
      <c r="E40" s="2">
        <f>+Proiezioni!$E$22</f>
        <v>11918</v>
      </c>
    </row>
    <row r="41" spans="2:14" x14ac:dyDescent="0.3">
      <c r="B41" s="8" t="s">
        <v>355</v>
      </c>
      <c r="C41" s="123">
        <f>+L27</f>
        <v>4.5686624583461208</v>
      </c>
      <c r="D41" s="123">
        <f>+L26</f>
        <v>5.2322511535651763</v>
      </c>
      <c r="E41" s="123">
        <f>+L28</f>
        <v>5.3115219211507085</v>
      </c>
    </row>
    <row r="42" spans="2:14" x14ac:dyDescent="0.3">
      <c r="B42" s="32" t="s">
        <v>293</v>
      </c>
      <c r="C42" s="33">
        <f>+C40*C41</f>
        <v>54449.319178569065</v>
      </c>
      <c r="D42" s="33">
        <f>+D40*D41</f>
        <v>62357.969248189773</v>
      </c>
      <c r="E42" s="33">
        <f>+E40*E41</f>
        <v>63302.718256274144</v>
      </c>
    </row>
    <row r="43" spans="2:14" ht="3.75" customHeight="1" x14ac:dyDescent="0.3">
      <c r="C43" s="76"/>
      <c r="D43" s="76"/>
      <c r="E43" s="76"/>
      <c r="N43" s="76"/>
    </row>
    <row r="44" spans="2:14" x14ac:dyDescent="0.3">
      <c r="B44" s="8" t="s">
        <v>356</v>
      </c>
      <c r="C44" s="102">
        <v>0</v>
      </c>
      <c r="D44" s="102">
        <v>0</v>
      </c>
      <c r="E44" s="102">
        <v>0</v>
      </c>
    </row>
    <row r="45" spans="2:14" x14ac:dyDescent="0.3">
      <c r="B45" s="8" t="s">
        <v>435</v>
      </c>
      <c r="C45" s="102">
        <v>0</v>
      </c>
      <c r="D45" s="102">
        <v>0</v>
      </c>
      <c r="E45" s="102">
        <v>0</v>
      </c>
    </row>
    <row r="46" spans="2:14" ht="3.75" customHeight="1" x14ac:dyDescent="0.3">
      <c r="C46" s="76"/>
      <c r="D46" s="76"/>
      <c r="E46" s="76"/>
      <c r="N46" s="76"/>
    </row>
    <row r="47" spans="2:14" x14ac:dyDescent="0.3">
      <c r="B47" s="60" t="s">
        <v>357</v>
      </c>
      <c r="C47" s="61">
        <f>+C42+SUM(C44:C45)</f>
        <v>54449.319178569065</v>
      </c>
      <c r="D47" s="61">
        <f>+D42+SUM(D44:D45)</f>
        <v>62357.969248189773</v>
      </c>
      <c r="E47" s="61">
        <f>+E42+SUM(E44:E45)</f>
        <v>63302.718256274144</v>
      </c>
    </row>
    <row r="48" spans="2:14" ht="3.75" customHeight="1" x14ac:dyDescent="0.3">
      <c r="C48" s="76"/>
      <c r="D48" s="76"/>
      <c r="E48" s="76"/>
      <c r="N48" s="76"/>
    </row>
    <row r="49" spans="2:14" x14ac:dyDescent="0.3">
      <c r="B49" s="8" t="s">
        <v>424</v>
      </c>
      <c r="C49" s="2">
        <f>+Proiezioni!$E$73</f>
        <v>60863</v>
      </c>
      <c r="D49" s="2">
        <f>+Proiezioni!$E$73</f>
        <v>60863</v>
      </c>
      <c r="E49" s="2">
        <f>+Proiezioni!$E$73</f>
        <v>60863</v>
      </c>
    </row>
    <row r="50" spans="2:14" x14ac:dyDescent="0.3">
      <c r="B50" s="8" t="s">
        <v>429</v>
      </c>
      <c r="C50" s="2">
        <f>+Proiezioni!$E$75</f>
        <v>-44567</v>
      </c>
      <c r="D50" s="2">
        <f>+Proiezioni!$E$75</f>
        <v>-44567</v>
      </c>
      <c r="E50" s="2">
        <f>+Proiezioni!$E$75</f>
        <v>-44567</v>
      </c>
    </row>
    <row r="51" spans="2:14" x14ac:dyDescent="0.3">
      <c r="B51" s="8" t="s">
        <v>430</v>
      </c>
      <c r="C51" s="2">
        <f>+Proiezioni!$E$77</f>
        <v>-1832</v>
      </c>
      <c r="D51" s="2">
        <f>+Proiezioni!$E$77</f>
        <v>-1832</v>
      </c>
      <c r="E51" s="2">
        <f>+Proiezioni!$E$77</f>
        <v>-1832</v>
      </c>
    </row>
    <row r="52" spans="2:14" x14ac:dyDescent="0.3">
      <c r="B52" s="32" t="s">
        <v>294</v>
      </c>
      <c r="C52" s="33">
        <f>+SUM(C49:C51)</f>
        <v>14464</v>
      </c>
      <c r="D52" s="33">
        <f>+SUM(D49:D51)</f>
        <v>14464</v>
      </c>
      <c r="E52" s="33">
        <f>+SUM(E49:E51)</f>
        <v>14464</v>
      </c>
    </row>
    <row r="53" spans="2:14" ht="3.75" customHeight="1" x14ac:dyDescent="0.3">
      <c r="C53" s="76"/>
      <c r="D53" s="76"/>
      <c r="E53" s="76"/>
      <c r="N53" s="76"/>
    </row>
    <row r="54" spans="2:14" x14ac:dyDescent="0.3">
      <c r="B54" s="60" t="s">
        <v>295</v>
      </c>
      <c r="C54" s="61">
        <f>+C47-C52</f>
        <v>39985.319178569065</v>
      </c>
      <c r="D54" s="61">
        <f>+D47-D52</f>
        <v>47893.969248189773</v>
      </c>
      <c r="E54" s="61">
        <f>+E47-E52</f>
        <v>48838.718256274144</v>
      </c>
    </row>
  </sheetData>
  <phoneticPr fontId="36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43B69-1BE4-4F7E-B870-BA834A7D22E4}">
  <dimension ref="B2:D47"/>
  <sheetViews>
    <sheetView showGridLines="0" topLeftCell="A47" zoomScale="133" workbookViewId="0">
      <selection activeCell="J38" sqref="J38"/>
    </sheetView>
  </sheetViews>
  <sheetFormatPr defaultColWidth="9.33203125" defaultRowHeight="12" x14ac:dyDescent="0.3"/>
  <cols>
    <col min="1" max="1" width="1.6640625" style="2" customWidth="1"/>
    <col min="2" max="2" width="31.77734375" style="8" bestFit="1" customWidth="1"/>
    <col min="3" max="16384" width="9.33203125" style="2"/>
  </cols>
  <sheetData>
    <row r="2" spans="2:4" s="1" customFormat="1" ht="15.5" x14ac:dyDescent="0.35">
      <c r="B2" s="6" t="s">
        <v>406</v>
      </c>
    </row>
    <row r="3" spans="2:4" s="1" customFormat="1" ht="15.5" x14ac:dyDescent="0.35">
      <c r="B3" s="7" t="s">
        <v>364</v>
      </c>
    </row>
    <row r="6" spans="2:4" x14ac:dyDescent="0.3">
      <c r="B6" s="100" t="s">
        <v>365</v>
      </c>
    </row>
    <row r="8" spans="2:4" ht="36.5" thickBot="1" x14ac:dyDescent="0.35">
      <c r="B8" s="28" t="s">
        <v>268</v>
      </c>
      <c r="C8" s="74" t="s">
        <v>381</v>
      </c>
      <c r="D8" s="74" t="s">
        <v>382</v>
      </c>
    </row>
    <row r="9" spans="2:4" ht="3.75" customHeight="1" x14ac:dyDescent="0.3"/>
    <row r="10" spans="2:4" x14ac:dyDescent="0.3">
      <c r="B10" s="91" t="s">
        <v>366</v>
      </c>
      <c r="C10" s="110">
        <v>4.9116375000000012</v>
      </c>
      <c r="D10" s="110">
        <v>4.1588096467829647</v>
      </c>
    </row>
    <row r="11" spans="2:4" x14ac:dyDescent="0.3">
      <c r="B11" s="91" t="s">
        <v>367</v>
      </c>
      <c r="C11" s="110">
        <v>6.8762925000000008</v>
      </c>
      <c r="D11" s="110">
        <v>6.1699279736999983</v>
      </c>
    </row>
    <row r="12" spans="2:4" x14ac:dyDescent="0.3">
      <c r="B12" s="91" t="s">
        <v>368</v>
      </c>
      <c r="C12" s="110">
        <v>7.8586200000000019</v>
      </c>
      <c r="D12" s="110">
        <v>6.4582988061554047</v>
      </c>
    </row>
    <row r="13" spans="2:4" x14ac:dyDescent="0.3">
      <c r="B13" s="91" t="s">
        <v>369</v>
      </c>
      <c r="C13" s="110">
        <v>4.4204737500000011</v>
      </c>
      <c r="D13" s="110">
        <v>4.3199816093842216</v>
      </c>
    </row>
    <row r="14" spans="2:4" x14ac:dyDescent="0.3">
      <c r="B14" s="91" t="s">
        <v>370</v>
      </c>
      <c r="C14" s="110">
        <v>4.4204737500000011</v>
      </c>
      <c r="D14" s="110">
        <v>4.0548643837372573</v>
      </c>
    </row>
    <row r="15" spans="2:4" x14ac:dyDescent="0.3">
      <c r="B15" s="91" t="s">
        <v>371</v>
      </c>
      <c r="C15" s="110">
        <v>4.2240082500000007</v>
      </c>
      <c r="D15" s="110">
        <v>4.212693528629166</v>
      </c>
    </row>
    <row r="16" spans="2:4" x14ac:dyDescent="0.3">
      <c r="B16" s="91" t="s">
        <v>372</v>
      </c>
      <c r="C16" s="110">
        <v>4.1257755000000005</v>
      </c>
      <c r="D16" s="110">
        <v>3.5884799453510219</v>
      </c>
    </row>
    <row r="17" spans="2:4" x14ac:dyDescent="0.3">
      <c r="B17" s="91" t="s">
        <v>373</v>
      </c>
      <c r="C17" s="110">
        <v>3.4381462500000004</v>
      </c>
      <c r="D17" s="110">
        <v>2.7257836228165764</v>
      </c>
    </row>
    <row r="18" spans="2:4" x14ac:dyDescent="0.3">
      <c r="B18" s="91" t="s">
        <v>374</v>
      </c>
      <c r="C18" s="110">
        <v>5.8939650000000015</v>
      </c>
      <c r="D18" s="110">
        <v>5.0542781698730215</v>
      </c>
    </row>
    <row r="19" spans="2:4" x14ac:dyDescent="0.3">
      <c r="B19" s="91" t="s">
        <v>375</v>
      </c>
      <c r="C19" s="110">
        <v>6.3851287500000016</v>
      </c>
      <c r="D19" s="110">
        <v>6.0604897615237565</v>
      </c>
    </row>
    <row r="20" spans="2:4" x14ac:dyDescent="0.3">
      <c r="B20" s="91" t="s">
        <v>376</v>
      </c>
      <c r="C20" s="110">
        <v>8.8409475000000022</v>
      </c>
      <c r="D20" s="110">
        <v>7.0557818131287702</v>
      </c>
    </row>
    <row r="21" spans="2:4" x14ac:dyDescent="0.3">
      <c r="B21" s="91" t="s">
        <v>377</v>
      </c>
      <c r="C21" s="110">
        <v>17.681895000000004</v>
      </c>
      <c r="D21" s="110">
        <v>13.375325846145223</v>
      </c>
    </row>
    <row r="22" spans="2:4" x14ac:dyDescent="0.3">
      <c r="B22" s="91" t="s">
        <v>378</v>
      </c>
      <c r="C22" s="110">
        <v>5.8939650000000015</v>
      </c>
      <c r="D22" s="110">
        <v>5.2017754981916138</v>
      </c>
    </row>
    <row r="23" spans="2:4" x14ac:dyDescent="0.3">
      <c r="B23" s="91" t="s">
        <v>379</v>
      </c>
      <c r="C23" s="110">
        <v>5.4028012500000004</v>
      </c>
      <c r="D23" s="110">
        <v>4.9380277772184069</v>
      </c>
    </row>
    <row r="24" spans="2:4" x14ac:dyDescent="0.3">
      <c r="B24" s="113" t="s">
        <v>380</v>
      </c>
      <c r="C24" s="114">
        <v>3.929310000000001</v>
      </c>
      <c r="D24" s="114">
        <v>3.4423967154493011</v>
      </c>
    </row>
    <row r="25" spans="2:4" x14ac:dyDescent="0.3">
      <c r="B25" s="9" t="s">
        <v>344</v>
      </c>
      <c r="C25" s="111">
        <f>+AVERAGE(C10:C24)</f>
        <v>6.2868960000000014</v>
      </c>
      <c r="D25" s="111">
        <f>+AVERAGE(D10:D24)</f>
        <v>5.3877943398724462</v>
      </c>
    </row>
    <row r="26" spans="2:4" x14ac:dyDescent="0.3">
      <c r="B26" s="9" t="s">
        <v>345</v>
      </c>
      <c r="C26" s="111">
        <f>+MEDIAN(C10:C24)</f>
        <v>5.4028012500000004</v>
      </c>
      <c r="D26" s="111">
        <f>+MEDIAN(D10:D24)</f>
        <v>4.9380277772184069</v>
      </c>
    </row>
    <row r="27" spans="2:4" x14ac:dyDescent="0.3">
      <c r="B27" s="9" t="s">
        <v>346</v>
      </c>
      <c r="C27" s="111">
        <f>+QUARTILE(C10:C24,1)</f>
        <v>4.3222410000000009</v>
      </c>
      <c r="D27" s="111">
        <f>+QUARTILE(D10:D24,1)</f>
        <v>4.106837015260111</v>
      </c>
    </row>
    <row r="28" spans="2:4" ht="12.5" thickBot="1" x14ac:dyDescent="0.35">
      <c r="B28" s="90" t="s">
        <v>347</v>
      </c>
      <c r="C28" s="112">
        <f>+QUARTILE(C10:C24,3)</f>
        <v>6.6307106250000007</v>
      </c>
      <c r="D28" s="112">
        <f>+QUARTILE(D10:D24,3)</f>
        <v>6.1152088676118774</v>
      </c>
    </row>
    <row r="31" spans="2:4" ht="12.5" thickBot="1" x14ac:dyDescent="0.35">
      <c r="B31" s="28" t="s">
        <v>268</v>
      </c>
      <c r="C31" s="74">
        <v>2019</v>
      </c>
      <c r="D31" s="74">
        <v>2020</v>
      </c>
    </row>
    <row r="33" spans="2:4" x14ac:dyDescent="0.3">
      <c r="B33" s="8" t="s">
        <v>354</v>
      </c>
      <c r="C33" s="2">
        <f>+Proiezioni!E22</f>
        <v>11918</v>
      </c>
      <c r="D33" s="2">
        <f>+Proiezioni!F22</f>
        <v>12100</v>
      </c>
    </row>
    <row r="34" spans="2:4" x14ac:dyDescent="0.3">
      <c r="B34" s="8" t="s">
        <v>355</v>
      </c>
      <c r="C34" s="123">
        <f>+C26</f>
        <v>5.4028012500000004</v>
      </c>
      <c r="D34" s="123">
        <f>+D26</f>
        <v>4.9380277772184069</v>
      </c>
    </row>
    <row r="35" spans="2:4" x14ac:dyDescent="0.3">
      <c r="B35" s="32" t="s">
        <v>293</v>
      </c>
      <c r="C35" s="33">
        <f>+C33*C34</f>
        <v>64390.585297500009</v>
      </c>
      <c r="D35" s="33">
        <f>+D33*D34</f>
        <v>59750.136104342724</v>
      </c>
    </row>
    <row r="36" spans="2:4" x14ac:dyDescent="0.3">
      <c r="C36" s="76"/>
      <c r="D36" s="76"/>
    </row>
    <row r="37" spans="2:4" x14ac:dyDescent="0.3">
      <c r="B37" s="8" t="s">
        <v>356</v>
      </c>
      <c r="C37" s="102">
        <v>0</v>
      </c>
      <c r="D37" s="102">
        <v>0</v>
      </c>
    </row>
    <row r="38" spans="2:4" x14ac:dyDescent="0.3">
      <c r="B38" s="8" t="s">
        <v>435</v>
      </c>
      <c r="C38" s="102">
        <v>0</v>
      </c>
      <c r="D38" s="102">
        <v>0</v>
      </c>
    </row>
    <row r="39" spans="2:4" x14ac:dyDescent="0.3">
      <c r="C39" s="76"/>
      <c r="D39" s="76"/>
    </row>
    <row r="40" spans="2:4" x14ac:dyDescent="0.3">
      <c r="B40" s="60" t="s">
        <v>357</v>
      </c>
      <c r="C40" s="61">
        <f>+C35+SUM(C37:C38)</f>
        <v>64390.585297500009</v>
      </c>
      <c r="D40" s="61">
        <f>+D35+SUM(D37:D38)</f>
        <v>59750.136104342724</v>
      </c>
    </row>
    <row r="41" spans="2:4" x14ac:dyDescent="0.3">
      <c r="C41" s="76"/>
      <c r="D41" s="76"/>
    </row>
    <row r="42" spans="2:4" x14ac:dyDescent="0.3">
      <c r="B42" s="8" t="s">
        <v>424</v>
      </c>
      <c r="C42" s="2">
        <f>+Proiezioni!$E$73</f>
        <v>60863</v>
      </c>
      <c r="D42" s="2">
        <f>+Proiezioni!$E$73</f>
        <v>60863</v>
      </c>
    </row>
    <row r="43" spans="2:4" x14ac:dyDescent="0.3">
      <c r="B43" s="8" t="s">
        <v>429</v>
      </c>
      <c r="C43" s="2">
        <f>+Proiezioni!$E$75</f>
        <v>-44567</v>
      </c>
      <c r="D43" s="2">
        <f>+Proiezioni!$E$75</f>
        <v>-44567</v>
      </c>
    </row>
    <row r="44" spans="2:4" x14ac:dyDescent="0.3">
      <c r="B44" s="8" t="s">
        <v>430</v>
      </c>
      <c r="C44" s="2">
        <f>+Proiezioni!$E$77</f>
        <v>-1832</v>
      </c>
      <c r="D44" s="2">
        <f>+Proiezioni!$E$77</f>
        <v>-1832</v>
      </c>
    </row>
    <row r="45" spans="2:4" x14ac:dyDescent="0.3">
      <c r="B45" s="32" t="s">
        <v>294</v>
      </c>
      <c r="C45" s="33">
        <f>+SUM(C42:C44)</f>
        <v>14464</v>
      </c>
      <c r="D45" s="33">
        <f>+SUM(D42:D44)</f>
        <v>14464</v>
      </c>
    </row>
    <row r="46" spans="2:4" x14ac:dyDescent="0.3">
      <c r="C46" s="76"/>
      <c r="D46" s="76"/>
    </row>
    <row r="47" spans="2:4" x14ac:dyDescent="0.3">
      <c r="B47" s="60" t="s">
        <v>295</v>
      </c>
      <c r="C47" s="61">
        <f>+C40-C45</f>
        <v>49926.585297500009</v>
      </c>
      <c r="D47" s="61">
        <f>+D40-D45</f>
        <v>45286.136104342724</v>
      </c>
    </row>
  </sheetData>
  <phoneticPr fontId="36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96CC1-8D97-45D6-BB60-082D1D74951A}">
  <dimension ref="B2:J106"/>
  <sheetViews>
    <sheetView showGridLines="0" topLeftCell="A7" zoomScale="159" workbookViewId="0">
      <selection activeCell="D25" sqref="D25"/>
    </sheetView>
  </sheetViews>
  <sheetFormatPr defaultColWidth="9.33203125" defaultRowHeight="12" x14ac:dyDescent="0.3"/>
  <cols>
    <col min="1" max="1" width="1.6640625" style="2" customWidth="1"/>
    <col min="2" max="2" width="37.6640625" style="8" bestFit="1" customWidth="1"/>
    <col min="3" max="10" width="10.44140625" style="2" customWidth="1"/>
    <col min="11" max="16384" width="9.33203125" style="2"/>
  </cols>
  <sheetData>
    <row r="2" spans="2:10" s="1" customFormat="1" ht="15.5" x14ac:dyDescent="0.35">
      <c r="B2" s="6" t="s">
        <v>406</v>
      </c>
    </row>
    <row r="3" spans="2:10" s="1" customFormat="1" ht="15.5" x14ac:dyDescent="0.35">
      <c r="B3" s="7" t="s">
        <v>425</v>
      </c>
    </row>
    <row r="6" spans="2:10" x14ac:dyDescent="0.3">
      <c r="B6" s="4" t="s">
        <v>263</v>
      </c>
    </row>
    <row r="8" spans="2:10" s="5" customFormat="1" ht="12.5" thickBot="1" x14ac:dyDescent="0.35">
      <c r="B8" s="28" t="s">
        <v>268</v>
      </c>
      <c r="C8" s="45">
        <f>+'Actual data'!G8</f>
        <v>2017</v>
      </c>
      <c r="D8" s="45">
        <f t="shared" ref="D8:E8" si="0">+C8+1</f>
        <v>2018</v>
      </c>
      <c r="E8" s="45">
        <f t="shared" si="0"/>
        <v>2019</v>
      </c>
      <c r="F8" s="41">
        <f t="shared" ref="F8:J8" si="1">+E8+1</f>
        <v>2020</v>
      </c>
      <c r="G8" s="42">
        <f t="shared" si="1"/>
        <v>2021</v>
      </c>
      <c r="H8" s="42">
        <f t="shared" si="1"/>
        <v>2022</v>
      </c>
      <c r="I8" s="42">
        <f t="shared" si="1"/>
        <v>2023</v>
      </c>
      <c r="J8" s="42">
        <f t="shared" si="1"/>
        <v>2024</v>
      </c>
    </row>
    <row r="9" spans="2:10" ht="3.75" customHeight="1" x14ac:dyDescent="0.3">
      <c r="C9" s="46"/>
      <c r="D9" s="46"/>
      <c r="E9" s="46"/>
    </row>
    <row r="10" spans="2:10" x14ac:dyDescent="0.3">
      <c r="B10" s="8" t="s">
        <v>397</v>
      </c>
      <c r="C10" s="46">
        <f>+'Actual data'!G10</f>
        <v>29488</v>
      </c>
      <c r="D10" s="46">
        <f>+'Actual data'!H10</f>
        <v>31352</v>
      </c>
      <c r="E10" s="46">
        <f>+'Actual data'!I10</f>
        <v>32326</v>
      </c>
      <c r="F10" s="43">
        <v>33000</v>
      </c>
      <c r="G10" s="43">
        <v>33500</v>
      </c>
      <c r="H10" s="43">
        <v>33750</v>
      </c>
      <c r="I10" s="43">
        <v>34500</v>
      </c>
      <c r="J10" s="43">
        <v>34750</v>
      </c>
    </row>
    <row r="11" spans="2:10" x14ac:dyDescent="0.3">
      <c r="B11" s="8" t="s">
        <v>426</v>
      </c>
      <c r="C11" s="46">
        <f>+'Actual data'!G11</f>
        <v>126</v>
      </c>
      <c r="D11" s="46">
        <f>+'Actual data'!H11</f>
        <v>0</v>
      </c>
      <c r="E11" s="46">
        <f>+'Actual data'!I11</f>
        <v>48</v>
      </c>
      <c r="F11" s="43">
        <v>0</v>
      </c>
      <c r="G11" s="43">
        <v>0</v>
      </c>
      <c r="H11" s="43">
        <v>0</v>
      </c>
      <c r="I11" s="43">
        <v>0</v>
      </c>
      <c r="J11" s="43">
        <v>0</v>
      </c>
    </row>
    <row r="12" spans="2:10" x14ac:dyDescent="0.3">
      <c r="B12" s="32" t="s">
        <v>407</v>
      </c>
      <c r="C12" s="47">
        <f t="shared" ref="C12:E12" si="2">+SUM(C10:C11)</f>
        <v>29614</v>
      </c>
      <c r="D12" s="47">
        <f t="shared" si="2"/>
        <v>31352</v>
      </c>
      <c r="E12" s="47">
        <f t="shared" si="2"/>
        <v>32374</v>
      </c>
      <c r="F12" s="33">
        <f t="shared" ref="F12" si="3">+SUM(F10:F11)</f>
        <v>33000</v>
      </c>
      <c r="G12" s="33">
        <f t="shared" ref="G12" si="4">+SUM(G10:G11)</f>
        <v>33500</v>
      </c>
      <c r="H12" s="33">
        <f t="shared" ref="H12" si="5">+SUM(H10:H11)</f>
        <v>33750</v>
      </c>
      <c r="I12" s="33">
        <f t="shared" ref="I12" si="6">+SUM(I10:I11)</f>
        <v>34500</v>
      </c>
      <c r="J12" s="33">
        <f t="shared" ref="J12" si="7">+SUM(J10:J11)</f>
        <v>34750</v>
      </c>
    </row>
    <row r="13" spans="2:10" s="34" customFormat="1" x14ac:dyDescent="0.3">
      <c r="B13" s="39" t="s">
        <v>411</v>
      </c>
      <c r="C13" s="49" t="str">
        <f>+IFERROR(C12/#REF!-1,"n.a.")</f>
        <v>n.a.</v>
      </c>
      <c r="D13" s="49">
        <f t="shared" ref="D13:E13" si="8">+IFERROR(D12/C12-1,"n.a.")</f>
        <v>5.8688458161680224E-2</v>
      </c>
      <c r="E13" s="49">
        <f t="shared" si="8"/>
        <v>3.2597601428935974E-2</v>
      </c>
      <c r="F13" s="40">
        <f t="shared" ref="F13" si="9">+IFERROR(F12/E12-1,"n.a.")</f>
        <v>1.9336504602458726E-2</v>
      </c>
      <c r="G13" s="40">
        <f t="shared" ref="G13" si="10">+IFERROR(G12/F12-1,"n.a.")</f>
        <v>1.5151515151515138E-2</v>
      </c>
      <c r="H13" s="40">
        <f t="shared" ref="H13" si="11">+IFERROR(H12/G12-1,"n.a.")</f>
        <v>7.4626865671640896E-3</v>
      </c>
      <c r="I13" s="40">
        <f t="shared" ref="I13" si="12">+IFERROR(I12/H12-1,"n.a.")</f>
        <v>2.2222222222222143E-2</v>
      </c>
      <c r="J13" s="40">
        <f t="shared" ref="J13" si="13">+IFERROR(J12/I12-1,"n.a.")</f>
        <v>7.2463768115942351E-3</v>
      </c>
    </row>
    <row r="14" spans="2:10" ht="3.75" customHeight="1" x14ac:dyDescent="0.3">
      <c r="C14" s="46"/>
      <c r="D14" s="46"/>
      <c r="E14" s="46"/>
    </row>
    <row r="15" spans="2:10" x14ac:dyDescent="0.3">
      <c r="B15" s="8" t="s">
        <v>399</v>
      </c>
      <c r="C15" s="46">
        <f>+'Actual data'!G15</f>
        <v>-710</v>
      </c>
      <c r="D15" s="46">
        <f>+'Actual data'!H15</f>
        <v>-775</v>
      </c>
      <c r="E15" s="46">
        <f>+'Actual data'!I15</f>
        <v>-882</v>
      </c>
      <c r="F15" s="43">
        <v>-900</v>
      </c>
      <c r="G15" s="43">
        <v>-910</v>
      </c>
      <c r="H15" s="43">
        <v>-920</v>
      </c>
      <c r="I15" s="43">
        <v>-930</v>
      </c>
      <c r="J15" s="43">
        <v>-940</v>
      </c>
    </row>
    <row r="16" spans="2:10" x14ac:dyDescent="0.3">
      <c r="B16" s="8" t="s">
        <v>400</v>
      </c>
      <c r="C16" s="46">
        <f>+'Actual data'!G16</f>
        <v>0</v>
      </c>
      <c r="D16" s="46">
        <f>+'Actual data'!H16</f>
        <v>0</v>
      </c>
      <c r="E16" s="46">
        <f>+'Actual data'!I16</f>
        <v>0</v>
      </c>
      <c r="F16" s="43">
        <v>0</v>
      </c>
      <c r="G16" s="43">
        <v>0</v>
      </c>
      <c r="H16" s="43"/>
      <c r="I16" s="43">
        <v>0</v>
      </c>
      <c r="J16" s="43">
        <v>0</v>
      </c>
    </row>
    <row r="17" spans="2:10" x14ac:dyDescent="0.3">
      <c r="B17" s="8" t="s">
        <v>404</v>
      </c>
      <c r="C17" s="46">
        <f>+'Actual data'!G17</f>
        <v>-9650</v>
      </c>
      <c r="D17" s="46">
        <f>+'Actual data'!H17</f>
        <v>-11396</v>
      </c>
      <c r="E17" s="46">
        <f>+'Actual data'!I17</f>
        <v>-11688</v>
      </c>
      <c r="F17" s="43">
        <v>-12600</v>
      </c>
      <c r="G17" s="43">
        <v>-12800</v>
      </c>
      <c r="H17" s="43">
        <v>-12900</v>
      </c>
      <c r="I17" s="43">
        <v>-13100</v>
      </c>
      <c r="J17" s="43">
        <v>-13150</v>
      </c>
    </row>
    <row r="18" spans="2:10" x14ac:dyDescent="0.3">
      <c r="B18" s="8" t="s">
        <v>402</v>
      </c>
      <c r="C18" s="46">
        <f>+'Actual data'!G18</f>
        <v>-5041</v>
      </c>
      <c r="D18" s="46">
        <f>+'Actual data'!H18</f>
        <v>-5577</v>
      </c>
      <c r="E18" s="46">
        <f>+'Actual data'!I18</f>
        <v>-6083</v>
      </c>
      <c r="F18" s="43">
        <v>-5600</v>
      </c>
      <c r="G18" s="43">
        <v>-5600</v>
      </c>
      <c r="H18" s="43">
        <v>-5650</v>
      </c>
      <c r="I18" s="43">
        <v>-5675</v>
      </c>
      <c r="J18" s="43">
        <v>-5700</v>
      </c>
    </row>
    <row r="19" spans="2:10" x14ac:dyDescent="0.3">
      <c r="B19" s="8" t="s">
        <v>403</v>
      </c>
      <c r="C19" s="46">
        <f>+'Actual data'!G19</f>
        <v>-1989</v>
      </c>
      <c r="D19" s="46">
        <f>+'Actual data'!H19</f>
        <v>-1665</v>
      </c>
      <c r="E19" s="46">
        <f>+'Actual data'!I19</f>
        <v>-1803</v>
      </c>
      <c r="F19" s="43">
        <v>-1800</v>
      </c>
      <c r="G19" s="43">
        <v>-1800</v>
      </c>
      <c r="H19" s="43">
        <v>-1800</v>
      </c>
      <c r="I19" s="43">
        <v>-1800</v>
      </c>
      <c r="J19" s="43">
        <v>-1800</v>
      </c>
    </row>
    <row r="20" spans="2:10" x14ac:dyDescent="0.3">
      <c r="B20" s="32" t="s">
        <v>401</v>
      </c>
      <c r="C20" s="47">
        <f>+SUM(C15:C19)</f>
        <v>-17390</v>
      </c>
      <c r="D20" s="47">
        <f>+SUM(D15:D19)</f>
        <v>-19413</v>
      </c>
      <c r="E20" s="47">
        <f>+SUM(E15:E19)</f>
        <v>-20456</v>
      </c>
      <c r="F20" s="33">
        <f t="shared" ref="F20:J20" si="14">+SUM(F15:F19)</f>
        <v>-20900</v>
      </c>
      <c r="G20" s="33">
        <f t="shared" si="14"/>
        <v>-21110</v>
      </c>
      <c r="H20" s="33">
        <f t="shared" si="14"/>
        <v>-21270</v>
      </c>
      <c r="I20" s="33">
        <f t="shared" si="14"/>
        <v>-21505</v>
      </c>
      <c r="J20" s="33">
        <f t="shared" si="14"/>
        <v>-21590</v>
      </c>
    </row>
    <row r="21" spans="2:10" ht="3.75" customHeight="1" x14ac:dyDescent="0.3">
      <c r="C21" s="46"/>
      <c r="D21" s="46"/>
      <c r="E21" s="46"/>
    </row>
    <row r="22" spans="2:10" ht="12.5" thickBot="1" x14ac:dyDescent="0.35">
      <c r="B22" s="30" t="s">
        <v>264</v>
      </c>
      <c r="C22" s="48">
        <f>+C12+C20</f>
        <v>12224</v>
      </c>
      <c r="D22" s="48">
        <f>+D12+D20</f>
        <v>11939</v>
      </c>
      <c r="E22" s="48">
        <f>+E12+E20</f>
        <v>11918</v>
      </c>
      <c r="F22" s="31">
        <f t="shared" ref="F22:J22" si="15">+F12+F20</f>
        <v>12100</v>
      </c>
      <c r="G22" s="31">
        <f t="shared" si="15"/>
        <v>12390</v>
      </c>
      <c r="H22" s="31">
        <f t="shared" si="15"/>
        <v>12480</v>
      </c>
      <c r="I22" s="31">
        <f t="shared" si="15"/>
        <v>12995</v>
      </c>
      <c r="J22" s="31">
        <f t="shared" si="15"/>
        <v>13160</v>
      </c>
    </row>
    <row r="23" spans="2:10" s="34" customFormat="1" x14ac:dyDescent="0.3">
      <c r="B23" s="39" t="s">
        <v>409</v>
      </c>
      <c r="C23" s="50">
        <f t="shared" ref="C23:E23" si="16">+C22/C$12</f>
        <v>0.41277774025798608</v>
      </c>
      <c r="D23" s="50">
        <f t="shared" si="16"/>
        <v>0.38080505230926259</v>
      </c>
      <c r="E23" s="50">
        <f t="shared" si="16"/>
        <v>0.36813492308642737</v>
      </c>
      <c r="F23" s="34">
        <f t="shared" ref="F23" si="17">+F22/F$12</f>
        <v>0.36666666666666664</v>
      </c>
      <c r="G23" s="34">
        <f t="shared" ref="G23" si="18">+G22/G$12</f>
        <v>0.36985074626865672</v>
      </c>
      <c r="H23" s="34">
        <f t="shared" ref="H23" si="19">+H22/H$12</f>
        <v>0.36977777777777776</v>
      </c>
      <c r="I23" s="34">
        <f t="shared" ref="I23" si="20">+I22/I$12</f>
        <v>0.37666666666666665</v>
      </c>
      <c r="J23" s="34">
        <f t="shared" ref="J23" si="21">+J22/J$12</f>
        <v>0.37870503597122301</v>
      </c>
    </row>
    <row r="24" spans="2:10" ht="3.75" customHeight="1" x14ac:dyDescent="0.3">
      <c r="C24" s="46"/>
      <c r="D24" s="46"/>
      <c r="E24" s="46"/>
    </row>
    <row r="25" spans="2:10" x14ac:dyDescent="0.3">
      <c r="B25" s="8" t="s">
        <v>260</v>
      </c>
      <c r="C25" s="46">
        <f>+'Actual data'!G25</f>
        <v>-6532</v>
      </c>
      <c r="D25" s="46">
        <f>+'Actual data'!H25</f>
        <v>-6034</v>
      </c>
      <c r="E25" s="46">
        <f>+'Actual data'!I25</f>
        <v>-6193</v>
      </c>
      <c r="F25" s="43">
        <v>-6250</v>
      </c>
      <c r="G25" s="43">
        <v>-6400</v>
      </c>
      <c r="H25" s="43">
        <v>-6500</v>
      </c>
      <c r="I25" s="43">
        <v>-6550</v>
      </c>
      <c r="J25" s="43">
        <v>-6600</v>
      </c>
    </row>
    <row r="26" spans="2:10" x14ac:dyDescent="0.3">
      <c r="B26" s="8" t="s">
        <v>408</v>
      </c>
      <c r="C26" s="46">
        <f>+'Actual data'!G26</f>
        <v>-60</v>
      </c>
      <c r="D26" s="46">
        <f>+'Actual data'!H26</f>
        <v>0</v>
      </c>
      <c r="E26" s="46">
        <f>+'Actual data'!I26</f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</row>
    <row r="27" spans="2:10" ht="3.75" customHeight="1" x14ac:dyDescent="0.3">
      <c r="C27" s="46"/>
      <c r="D27" s="46"/>
      <c r="E27" s="46"/>
    </row>
    <row r="28" spans="2:10" ht="12.5" thickBot="1" x14ac:dyDescent="0.35">
      <c r="B28" s="30" t="s">
        <v>265</v>
      </c>
      <c r="C28" s="48">
        <f t="shared" ref="C28:E28" si="22">+C22+SUM(C25:C26)</f>
        <v>5632</v>
      </c>
      <c r="D28" s="48">
        <f t="shared" si="22"/>
        <v>5905</v>
      </c>
      <c r="E28" s="48">
        <f t="shared" si="22"/>
        <v>5725</v>
      </c>
      <c r="F28" s="31">
        <f t="shared" ref="F28:J28" si="23">+F22+SUM(F25:F26)</f>
        <v>5850</v>
      </c>
      <c r="G28" s="31">
        <f t="shared" si="23"/>
        <v>5990</v>
      </c>
      <c r="H28" s="31">
        <f t="shared" si="23"/>
        <v>5980</v>
      </c>
      <c r="I28" s="31">
        <f t="shared" si="23"/>
        <v>6445</v>
      </c>
      <c r="J28" s="31">
        <f t="shared" si="23"/>
        <v>6560</v>
      </c>
    </row>
    <row r="29" spans="2:10" s="34" customFormat="1" x14ac:dyDescent="0.3">
      <c r="B29" s="39" t="s">
        <v>409</v>
      </c>
      <c r="C29" s="50">
        <f t="shared" ref="C29:E29" si="24">+C28/C$12</f>
        <v>0.19018032011886271</v>
      </c>
      <c r="D29" s="50">
        <f t="shared" si="24"/>
        <v>0.18834524113294207</v>
      </c>
      <c r="E29" s="50">
        <f t="shared" si="24"/>
        <v>0.17683943905603261</v>
      </c>
      <c r="F29" s="34">
        <f t="shared" ref="F29" si="25">+F28/F$12</f>
        <v>0.17727272727272728</v>
      </c>
      <c r="G29" s="34">
        <f t="shared" ref="G29" si="26">+G28/G$12</f>
        <v>0.17880597014925373</v>
      </c>
      <c r="H29" s="34">
        <f t="shared" ref="H29" si="27">+H28/H$12</f>
        <v>0.1771851851851852</v>
      </c>
      <c r="I29" s="34">
        <f t="shared" ref="I29" si="28">+I28/I$12</f>
        <v>0.18681159420289856</v>
      </c>
      <c r="J29" s="34">
        <f t="shared" ref="J29" si="29">+J28/J$12</f>
        <v>0.18877697841726618</v>
      </c>
    </row>
    <row r="30" spans="2:10" ht="3.75" customHeight="1" x14ac:dyDescent="0.3">
      <c r="C30" s="46"/>
      <c r="D30" s="46"/>
      <c r="E30" s="46"/>
    </row>
    <row r="31" spans="2:10" x14ac:dyDescent="0.3">
      <c r="B31" s="8" t="s">
        <v>261</v>
      </c>
      <c r="C31" s="46">
        <f>+'Actual data'!G31</f>
        <v>0</v>
      </c>
      <c r="D31" s="46">
        <f>+'Actual data'!H31</f>
        <v>-236</v>
      </c>
      <c r="E31" s="46">
        <f>+'Actual data'!I31</f>
        <v>-56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</row>
    <row r="32" spans="2:10" x14ac:dyDescent="0.3">
      <c r="B32" s="8" t="s">
        <v>436</v>
      </c>
      <c r="C32" s="46">
        <f>+'Actual data'!G32</f>
        <v>-1257</v>
      </c>
      <c r="D32" s="46">
        <f>+'Actual data'!H32</f>
        <v>-1393</v>
      </c>
      <c r="E32" s="46">
        <f>+'Actual data'!I32</f>
        <v>-1619</v>
      </c>
      <c r="F32" s="43">
        <v>-1619</v>
      </c>
      <c r="G32" s="43">
        <v>-1619</v>
      </c>
      <c r="H32" s="43">
        <v>-1619</v>
      </c>
      <c r="I32" s="43">
        <v>-1619</v>
      </c>
      <c r="J32" s="43">
        <v>-1619</v>
      </c>
    </row>
    <row r="33" spans="2:10" x14ac:dyDescent="0.3">
      <c r="B33" s="8" t="s">
        <v>437</v>
      </c>
      <c r="C33" s="46">
        <f>+'Actual data'!G33</f>
        <v>129</v>
      </c>
      <c r="D33" s="46">
        <f>+'Actual data'!H33</f>
        <v>106</v>
      </c>
      <c r="E33" s="46">
        <f>+'Actual data'!I33</f>
        <v>-66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</row>
    <row r="34" spans="2:10" ht="3.75" customHeight="1" x14ac:dyDescent="0.3">
      <c r="C34" s="46"/>
      <c r="D34" s="46"/>
      <c r="E34" s="46"/>
    </row>
    <row r="35" spans="2:10" ht="12.5" thickBot="1" x14ac:dyDescent="0.35">
      <c r="B35" s="30" t="s">
        <v>438</v>
      </c>
      <c r="C35" s="48">
        <f t="shared" ref="C35:E35" si="30">+C28+SUM(C31:C33)</f>
        <v>4504</v>
      </c>
      <c r="D35" s="48">
        <f t="shared" si="30"/>
        <v>4382</v>
      </c>
      <c r="E35" s="48">
        <f t="shared" si="30"/>
        <v>3984</v>
      </c>
      <c r="F35" s="31">
        <f t="shared" ref="F35:J35" si="31">+F28+SUM(F31:F33)</f>
        <v>4231</v>
      </c>
      <c r="G35" s="31">
        <f t="shared" si="31"/>
        <v>4371</v>
      </c>
      <c r="H35" s="31">
        <f t="shared" si="31"/>
        <v>4361</v>
      </c>
      <c r="I35" s="31">
        <f t="shared" si="31"/>
        <v>4826</v>
      </c>
      <c r="J35" s="31">
        <f t="shared" si="31"/>
        <v>4941</v>
      </c>
    </row>
    <row r="36" spans="2:10" ht="3.75" customHeight="1" x14ac:dyDescent="0.3">
      <c r="C36" s="46"/>
      <c r="D36" s="46"/>
      <c r="E36" s="46"/>
    </row>
    <row r="37" spans="2:10" x14ac:dyDescent="0.3">
      <c r="B37" s="8" t="s">
        <v>439</v>
      </c>
      <c r="C37" s="46">
        <f>+'Actual data'!G37</f>
        <v>-508</v>
      </c>
      <c r="D37" s="46">
        <f>+'Actual data'!H37</f>
        <v>-591</v>
      </c>
      <c r="E37" s="46">
        <f>+'Actual data'!I37</f>
        <v>0</v>
      </c>
      <c r="F37" s="43">
        <v>-1040.9490000000001</v>
      </c>
      <c r="G37" s="43">
        <v>-1080.009</v>
      </c>
      <c r="H37" s="43">
        <v>-1077.2190000000001</v>
      </c>
      <c r="I37" s="43">
        <v>-1206.9540000000002</v>
      </c>
      <c r="J37" s="43">
        <v>-1239.0390000000002</v>
      </c>
    </row>
    <row r="38" spans="2:10" ht="3.75" customHeight="1" x14ac:dyDescent="0.3">
      <c r="C38" s="46"/>
      <c r="D38" s="46"/>
      <c r="E38" s="46"/>
    </row>
    <row r="39" spans="2:10" ht="12.5" thickBot="1" x14ac:dyDescent="0.35">
      <c r="B39" s="30" t="s">
        <v>266</v>
      </c>
      <c r="C39" s="48">
        <f t="shared" ref="C39:E39" si="32">+C35+C37</f>
        <v>3996</v>
      </c>
      <c r="D39" s="48">
        <f t="shared" si="32"/>
        <v>3791</v>
      </c>
      <c r="E39" s="48">
        <f t="shared" si="32"/>
        <v>3984</v>
      </c>
      <c r="F39" s="31">
        <f t="shared" ref="F39:J39" si="33">+F35+F37</f>
        <v>3190.0509999999999</v>
      </c>
      <c r="G39" s="31">
        <f t="shared" si="33"/>
        <v>3290.991</v>
      </c>
      <c r="H39" s="31">
        <f t="shared" si="33"/>
        <v>3283.7809999999999</v>
      </c>
      <c r="I39" s="31">
        <f t="shared" si="33"/>
        <v>3619.0459999999998</v>
      </c>
      <c r="J39" s="31">
        <f t="shared" si="33"/>
        <v>3701.9609999999998</v>
      </c>
    </row>
    <row r="40" spans="2:10" s="36" customFormat="1" ht="9.5" x14ac:dyDescent="0.25">
      <c r="B40" s="35" t="s">
        <v>267</v>
      </c>
    </row>
    <row r="43" spans="2:10" x14ac:dyDescent="0.3">
      <c r="B43" s="4" t="s">
        <v>269</v>
      </c>
    </row>
    <row r="45" spans="2:10" s="5" customFormat="1" ht="12.5" thickBot="1" x14ac:dyDescent="0.35">
      <c r="B45" s="28" t="s">
        <v>268</v>
      </c>
      <c r="C45" s="45">
        <f>+C$8</f>
        <v>2017</v>
      </c>
      <c r="D45" s="45">
        <f t="shared" ref="D45:J45" si="34">+D$8</f>
        <v>2018</v>
      </c>
      <c r="E45" s="45">
        <f t="shared" si="34"/>
        <v>2019</v>
      </c>
      <c r="F45" s="41">
        <f t="shared" si="34"/>
        <v>2020</v>
      </c>
      <c r="G45" s="42">
        <f t="shared" si="34"/>
        <v>2021</v>
      </c>
      <c r="H45" s="42">
        <f t="shared" si="34"/>
        <v>2022</v>
      </c>
      <c r="I45" s="42">
        <f t="shared" si="34"/>
        <v>2023</v>
      </c>
      <c r="J45" s="42">
        <f t="shared" si="34"/>
        <v>2024</v>
      </c>
    </row>
    <row r="46" spans="2:10" ht="3.75" customHeight="1" x14ac:dyDescent="0.3">
      <c r="C46" s="46"/>
      <c r="D46" s="46"/>
      <c r="E46" s="46"/>
    </row>
    <row r="47" spans="2:10" x14ac:dyDescent="0.3">
      <c r="B47" s="8" t="s">
        <v>254</v>
      </c>
      <c r="C47" s="46">
        <f>+'Actual data'!G47</f>
        <v>17</v>
      </c>
      <c r="D47" s="46">
        <f>+'Actual data'!H47</f>
        <v>13</v>
      </c>
      <c r="E47" s="46">
        <f>+'Actual data'!I47</f>
        <v>3</v>
      </c>
      <c r="F47" s="43">
        <v>3</v>
      </c>
      <c r="G47" s="43">
        <v>3</v>
      </c>
      <c r="H47" s="43">
        <v>3</v>
      </c>
      <c r="I47" s="43">
        <v>3</v>
      </c>
      <c r="J47" s="43">
        <v>3</v>
      </c>
    </row>
    <row r="48" spans="2:10" x14ac:dyDescent="0.3">
      <c r="B48" s="8" t="s">
        <v>255</v>
      </c>
      <c r="C48" s="46">
        <f>+'Actual data'!G48</f>
        <v>3821</v>
      </c>
      <c r="D48" s="46">
        <f>+'Actual data'!H48</f>
        <v>3821</v>
      </c>
      <c r="E48" s="46">
        <f>+'Actual data'!I48</f>
        <v>3821</v>
      </c>
      <c r="F48" s="43">
        <v>3821</v>
      </c>
      <c r="G48" s="43">
        <v>3821</v>
      </c>
      <c r="H48" s="43">
        <v>3821</v>
      </c>
      <c r="I48" s="43">
        <v>3821</v>
      </c>
      <c r="J48" s="43">
        <v>3821</v>
      </c>
    </row>
    <row r="49" spans="2:10" x14ac:dyDescent="0.3">
      <c r="B49" s="8" t="s">
        <v>256</v>
      </c>
      <c r="C49" s="46">
        <f>+'Actual data'!G49</f>
        <v>31257</v>
      </c>
      <c r="D49" s="46">
        <f>+'Actual data'!H49</f>
        <v>31453</v>
      </c>
      <c r="E49" s="46">
        <f>+'Actual data'!I49</f>
        <v>35954</v>
      </c>
      <c r="F49" s="43">
        <v>36704</v>
      </c>
      <c r="G49" s="43">
        <v>37304</v>
      </c>
      <c r="H49" s="43">
        <v>37804</v>
      </c>
      <c r="I49" s="43">
        <v>40254</v>
      </c>
      <c r="J49" s="43">
        <v>40654</v>
      </c>
    </row>
    <row r="50" spans="2:10" x14ac:dyDescent="0.3">
      <c r="B50" s="32" t="s">
        <v>432</v>
      </c>
      <c r="C50" s="47">
        <f t="shared" ref="C50:E50" si="35">+SUM(C47:C49)</f>
        <v>35095</v>
      </c>
      <c r="D50" s="47">
        <f t="shared" si="35"/>
        <v>35287</v>
      </c>
      <c r="E50" s="47">
        <f t="shared" si="35"/>
        <v>39778</v>
      </c>
      <c r="F50" s="33">
        <f t="shared" ref="F50" si="36">+SUM(F47:F49)</f>
        <v>40528</v>
      </c>
      <c r="G50" s="33">
        <f t="shared" ref="G50" si="37">+SUM(G47:G49)</f>
        <v>41128</v>
      </c>
      <c r="H50" s="33">
        <f t="shared" ref="H50" si="38">+SUM(H47:H49)</f>
        <v>41628</v>
      </c>
      <c r="I50" s="33">
        <f t="shared" ref="I50" si="39">+SUM(I47:I49)</f>
        <v>44078</v>
      </c>
      <c r="J50" s="33">
        <f t="shared" ref="J50" si="40">+SUM(J47:J49)</f>
        <v>44478</v>
      </c>
    </row>
    <row r="51" spans="2:10" ht="3.75" customHeight="1" x14ac:dyDescent="0.3">
      <c r="C51" s="46"/>
      <c r="D51" s="46"/>
      <c r="E51" s="46"/>
    </row>
    <row r="52" spans="2:10" x14ac:dyDescent="0.3">
      <c r="B52" s="8" t="s">
        <v>440</v>
      </c>
      <c r="C52" s="46">
        <f>+'Actual data'!G52</f>
        <v>142</v>
      </c>
      <c r="D52" s="46">
        <f>+'Actual data'!H52</f>
        <v>103</v>
      </c>
      <c r="E52" s="46">
        <f>+'Actual data'!I52</f>
        <v>140</v>
      </c>
      <c r="F52" s="43">
        <v>140</v>
      </c>
      <c r="G52" s="43">
        <v>140</v>
      </c>
      <c r="H52" s="43">
        <v>140</v>
      </c>
      <c r="I52" s="43">
        <v>140</v>
      </c>
      <c r="J52" s="43">
        <v>140</v>
      </c>
    </row>
    <row r="53" spans="2:10" x14ac:dyDescent="0.3">
      <c r="B53" s="8" t="s">
        <v>441</v>
      </c>
      <c r="C53" s="46">
        <f>+'Actual data'!G53</f>
        <v>14732</v>
      </c>
      <c r="D53" s="46">
        <f>+'Actual data'!H53</f>
        <v>13653</v>
      </c>
      <c r="E53" s="46">
        <f>+'Actual data'!I53</f>
        <v>17104</v>
      </c>
      <c r="F53" s="43">
        <v>17434.731574720456</v>
      </c>
      <c r="G53" s="43">
        <v>17698.894174337434</v>
      </c>
      <c r="H53" s="43">
        <v>17830.975474145922</v>
      </c>
      <c r="I53" s="43">
        <v>18227.219373571384</v>
      </c>
      <c r="J53" s="43">
        <v>18359.300673379876</v>
      </c>
    </row>
    <row r="54" spans="2:10" x14ac:dyDescent="0.3">
      <c r="B54" s="8" t="s">
        <v>442</v>
      </c>
      <c r="C54" s="46">
        <f>+'Actual data'!G54</f>
        <v>-6003</v>
      </c>
      <c r="D54" s="46">
        <f>+'Actual data'!H54</f>
        <v>-7598</v>
      </c>
      <c r="E54" s="46">
        <f>+'Actual data'!I54</f>
        <v>-6246</v>
      </c>
      <c r="F54" s="43">
        <v>-6648.8415779586721</v>
      </c>
      <c r="G54" s="43">
        <v>-6740.1001878522229</v>
      </c>
      <c r="H54" s="43">
        <v>-6787.9023168440826</v>
      </c>
      <c r="I54" s="43">
        <v>-6879.1609267376334</v>
      </c>
      <c r="J54" s="43">
        <v>-6905.2348152786471</v>
      </c>
    </row>
    <row r="55" spans="2:10" x14ac:dyDescent="0.3">
      <c r="B55" s="8" t="s">
        <v>257</v>
      </c>
      <c r="C55" s="46">
        <f>+'Actual data'!G55</f>
        <v>1658</v>
      </c>
      <c r="D55" s="46">
        <f>+'Actual data'!H55</f>
        <v>1223</v>
      </c>
      <c r="E55" s="46">
        <f>+'Actual data'!I55</f>
        <v>4159</v>
      </c>
      <c r="F55" s="43">
        <v>4239.4205226416261</v>
      </c>
      <c r="G55" s="43">
        <v>4303.6541669240751</v>
      </c>
      <c r="H55" s="43">
        <v>4335.7709890652995</v>
      </c>
      <c r="I55" s="43">
        <v>4432.121455488973</v>
      </c>
      <c r="J55" s="43">
        <v>4464.2382776301974</v>
      </c>
    </row>
    <row r="56" spans="2:10" x14ac:dyDescent="0.3">
      <c r="B56" s="8" t="s">
        <v>443</v>
      </c>
      <c r="C56" s="46">
        <f>+'Actual data'!G56</f>
        <v>-4538</v>
      </c>
      <c r="D56" s="46">
        <f>+'Actual data'!H56</f>
        <v>-3387</v>
      </c>
      <c r="E56" s="46">
        <f>+'Actual data'!I56</f>
        <v>-4004</v>
      </c>
      <c r="F56" s="43">
        <v>-4004</v>
      </c>
      <c r="G56" s="43">
        <v>-4004</v>
      </c>
      <c r="H56" s="43">
        <v>-4004</v>
      </c>
      <c r="I56" s="43">
        <v>-4004</v>
      </c>
      <c r="J56" s="43">
        <v>-4004</v>
      </c>
    </row>
    <row r="57" spans="2:10" x14ac:dyDescent="0.3">
      <c r="B57" s="32" t="s">
        <v>433</v>
      </c>
      <c r="C57" s="47">
        <f t="shared" ref="C57:E57" si="41">+SUM(C52:C56)</f>
        <v>5991</v>
      </c>
      <c r="D57" s="47">
        <f>+SUM(D52:D56)</f>
        <v>3994</v>
      </c>
      <c r="E57" s="47">
        <f t="shared" si="41"/>
        <v>11153</v>
      </c>
      <c r="F57" s="33">
        <f t="shared" ref="F57" si="42">+SUM(F52:F56)</f>
        <v>11161.310519403411</v>
      </c>
      <c r="G57" s="33">
        <f t="shared" ref="G57" si="43">+SUM(G52:G56)</f>
        <v>11398.448153409288</v>
      </c>
      <c r="H57" s="33">
        <f t="shared" ref="H57" si="44">+SUM(H52:H56)</f>
        <v>11514.844146367137</v>
      </c>
      <c r="I57" s="33">
        <f t="shared" ref="I57" si="45">+SUM(I52:I56)</f>
        <v>11916.179902322725</v>
      </c>
      <c r="J57" s="33">
        <f t="shared" ref="J57" si="46">+SUM(J52:J56)</f>
        <v>12054.304135731425</v>
      </c>
    </row>
    <row r="58" spans="2:10" ht="3.75" customHeight="1" x14ac:dyDescent="0.3">
      <c r="C58" s="46"/>
      <c r="D58" s="46"/>
      <c r="E58" s="46"/>
    </row>
    <row r="59" spans="2:10" x14ac:dyDescent="0.3">
      <c r="B59" s="32" t="s">
        <v>434</v>
      </c>
      <c r="C59" s="47">
        <f>+'Actual data'!G59</f>
        <v>11</v>
      </c>
      <c r="D59" s="47">
        <f>+'Actual data'!H59</f>
        <v>11</v>
      </c>
      <c r="E59" s="47">
        <f>+'Actual data'!I59</f>
        <v>11</v>
      </c>
      <c r="F59" s="44">
        <v>11</v>
      </c>
      <c r="G59" s="44">
        <v>11</v>
      </c>
      <c r="H59" s="44">
        <v>11</v>
      </c>
      <c r="I59" s="44">
        <v>11</v>
      </c>
      <c r="J59" s="44">
        <v>11</v>
      </c>
    </row>
    <row r="60" spans="2:10" ht="3.75" customHeight="1" x14ac:dyDescent="0.3">
      <c r="C60" s="46"/>
      <c r="D60" s="46"/>
      <c r="E60" s="46"/>
      <c r="F60" s="43"/>
      <c r="G60" s="43"/>
      <c r="H60" s="43"/>
      <c r="I60" s="43"/>
      <c r="J60" s="43"/>
    </row>
    <row r="61" spans="2:10" x14ac:dyDescent="0.3">
      <c r="B61" s="32" t="s">
        <v>416</v>
      </c>
      <c r="C61" s="47">
        <f>+'Actual data'!G61</f>
        <v>-18</v>
      </c>
      <c r="D61" s="47">
        <f>+'Actual data'!H61</f>
        <v>-18</v>
      </c>
      <c r="E61" s="47">
        <f>+'Actual data'!I61</f>
        <v>-17</v>
      </c>
      <c r="F61" s="44">
        <v>-17</v>
      </c>
      <c r="G61" s="44">
        <v>-17</v>
      </c>
      <c r="H61" s="44">
        <v>-17</v>
      </c>
      <c r="I61" s="44">
        <v>-17</v>
      </c>
      <c r="J61" s="44">
        <v>-17</v>
      </c>
    </row>
    <row r="62" spans="2:10" ht="3.75" customHeight="1" x14ac:dyDescent="0.3">
      <c r="C62" s="46"/>
      <c r="D62" s="46"/>
      <c r="E62" s="46"/>
    </row>
    <row r="63" spans="2:10" s="3" customFormat="1" ht="12.5" thickBot="1" x14ac:dyDescent="0.35">
      <c r="B63" s="30" t="s">
        <v>427</v>
      </c>
      <c r="C63" s="48">
        <f t="shared" ref="C63:E63" si="47">+C50+C57+C59+C61</f>
        <v>41079</v>
      </c>
      <c r="D63" s="48">
        <f t="shared" si="47"/>
        <v>39274</v>
      </c>
      <c r="E63" s="48">
        <f t="shared" si="47"/>
        <v>50925</v>
      </c>
      <c r="F63" s="31">
        <f t="shared" ref="F63:J63" si="48">+F50+F57+F59+F61</f>
        <v>51683.310519403414</v>
      </c>
      <c r="G63" s="31">
        <f t="shared" si="48"/>
        <v>52520.448153409292</v>
      </c>
      <c r="H63" s="31">
        <f t="shared" si="48"/>
        <v>53136.844146367133</v>
      </c>
      <c r="I63" s="31">
        <f t="shared" si="48"/>
        <v>55988.179902322721</v>
      </c>
      <c r="J63" s="31">
        <f t="shared" si="48"/>
        <v>56526.304135731421</v>
      </c>
    </row>
    <row r="64" spans="2:10" x14ac:dyDescent="0.3">
      <c r="C64" s="46"/>
      <c r="D64" s="46"/>
      <c r="E64" s="46"/>
    </row>
    <row r="65" spans="2:10" x14ac:dyDescent="0.3">
      <c r="B65" s="32" t="s">
        <v>444</v>
      </c>
      <c r="C65" s="47">
        <f>-SUMIFS(Mapping!G$5:G$106,Mapping!$J$5:$J$106,Proiezioni!$B65)/1000+SUMIFS(Mapping!G$110:G$191,Mapping!$J$110:$J$191,Proiezioni!$B65)/1000</f>
        <v>28757</v>
      </c>
      <c r="D65" s="47">
        <f>-SUMIFS(Mapping!H$5:H$106,Mapping!$J$5:$J$106,Proiezioni!$B65)/1000+SUMIFS(Mapping!H$110:H$191,Mapping!$J$110:$J$191,Proiezioni!$B65)/1000</f>
        <v>32528</v>
      </c>
      <c r="E65" s="47">
        <f>-SUMIFS(Mapping!I$5:I$106,Mapping!$J$5:$J$106,Proiezioni!$B65)/1000+SUMIFS(Mapping!I$110:I$191,Mapping!$J$110:$J$191,Proiezioni!$B65)/1000</f>
        <v>36461</v>
      </c>
      <c r="F65" s="44">
        <v>39151.050999999999</v>
      </c>
      <c r="G65" s="44">
        <v>41942.042000000001</v>
      </c>
      <c r="H65" s="44">
        <v>44725.823000000004</v>
      </c>
      <c r="I65" s="44">
        <v>47844.869000000006</v>
      </c>
      <c r="J65" s="44">
        <v>51046.830000000009</v>
      </c>
    </row>
    <row r="66" spans="2:10" ht="3.75" customHeight="1" x14ac:dyDescent="0.3">
      <c r="C66" s="46"/>
      <c r="D66" s="46"/>
      <c r="E66" s="46"/>
    </row>
    <row r="67" spans="2:10" x14ac:dyDescent="0.3">
      <c r="B67" s="8" t="s">
        <v>417</v>
      </c>
      <c r="C67" s="46">
        <f>+'Actual data'!G67</f>
        <v>23579</v>
      </c>
      <c r="D67" s="46">
        <f>+'Actual data'!H67</f>
        <v>18189</v>
      </c>
      <c r="E67" s="46">
        <f>+'Actual data'!I67</f>
        <v>14006</v>
      </c>
      <c r="F67" s="43">
        <v>14006</v>
      </c>
      <c r="G67" s="43">
        <v>14006</v>
      </c>
      <c r="H67" s="43">
        <v>14006</v>
      </c>
      <c r="I67" s="43">
        <v>14006</v>
      </c>
      <c r="J67" s="43">
        <v>14006</v>
      </c>
    </row>
    <row r="68" spans="2:10" x14ac:dyDescent="0.3">
      <c r="B68" s="8" t="s">
        <v>418</v>
      </c>
      <c r="C68" s="46">
        <f>+'Actual data'!G68</f>
        <v>30205</v>
      </c>
      <c r="D68" s="46">
        <f>+'Actual data'!H68</f>
        <v>50215</v>
      </c>
      <c r="E68" s="46">
        <f>+'Actual data'!I68</f>
        <v>68813</v>
      </c>
      <c r="F68" s="43">
        <v>68813</v>
      </c>
      <c r="G68" s="43">
        <v>68813</v>
      </c>
      <c r="H68" s="43">
        <v>68813</v>
      </c>
      <c r="I68" s="43">
        <v>68813</v>
      </c>
      <c r="J68" s="43">
        <v>68813</v>
      </c>
    </row>
    <row r="69" spans="2:10" x14ac:dyDescent="0.3">
      <c r="B69" s="8" t="s">
        <v>259</v>
      </c>
      <c r="C69" s="46">
        <f>+'Actual data'!G69</f>
        <v>1152</v>
      </c>
      <c r="D69" s="46">
        <f>+'Actual data'!H69</f>
        <v>1082</v>
      </c>
      <c r="E69" s="46">
        <f>+'Actual data'!I69</f>
        <v>1310</v>
      </c>
      <c r="F69" s="43">
        <v>1310</v>
      </c>
      <c r="G69" s="43">
        <v>1310</v>
      </c>
      <c r="H69" s="43">
        <v>1310</v>
      </c>
      <c r="I69" s="43">
        <v>1310</v>
      </c>
      <c r="J69" s="43">
        <v>1310</v>
      </c>
    </row>
    <row r="70" spans="2:10" x14ac:dyDescent="0.3">
      <c r="B70" s="8" t="s">
        <v>419</v>
      </c>
      <c r="C70" s="46">
        <f>+'Actual data'!G70</f>
        <v>-2044</v>
      </c>
      <c r="D70" s="46">
        <f>+'Actual data'!H70</f>
        <v>-19331</v>
      </c>
      <c r="E70" s="46">
        <f>+'Actual data'!I70</f>
        <v>-23165</v>
      </c>
      <c r="F70" s="43">
        <v>-23165</v>
      </c>
      <c r="G70" s="43">
        <v>-23165</v>
      </c>
      <c r="H70" s="43">
        <v>-23165</v>
      </c>
      <c r="I70" s="43">
        <v>-23165</v>
      </c>
      <c r="J70" s="43">
        <v>-23165</v>
      </c>
    </row>
    <row r="71" spans="2:10" x14ac:dyDescent="0.3">
      <c r="B71" s="8" t="s">
        <v>420</v>
      </c>
      <c r="C71" s="46">
        <f>+'Actual data'!G71</f>
        <v>-136</v>
      </c>
      <c r="D71" s="46">
        <f>+'Actual data'!H71</f>
        <v>-281</v>
      </c>
      <c r="E71" s="46">
        <f>+'Actual data'!I71</f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</row>
    <row r="72" spans="2:10" x14ac:dyDescent="0.3">
      <c r="B72" s="8" t="s">
        <v>258</v>
      </c>
      <c r="C72" s="46">
        <f>+'Actual data'!G72</f>
        <v>-337</v>
      </c>
      <c r="D72" s="46">
        <f>+'Actual data'!H72</f>
        <v>-205</v>
      </c>
      <c r="E72" s="46">
        <f>+'Actual data'!I72</f>
        <v>-101</v>
      </c>
      <c r="F72" s="43">
        <v>-2032.7404805965889</v>
      </c>
      <c r="G72" s="43">
        <v>-3986.5938465907111</v>
      </c>
      <c r="H72" s="43">
        <v>-6153.9788536328615</v>
      </c>
      <c r="I72" s="43">
        <v>-6421.6890976772738</v>
      </c>
      <c r="J72" s="43">
        <v>-9085.5258642685731</v>
      </c>
    </row>
    <row r="73" spans="2:10" x14ac:dyDescent="0.3">
      <c r="B73" s="32" t="s">
        <v>423</v>
      </c>
      <c r="C73" s="47">
        <f t="shared" ref="C73:E73" si="49">+SUM(C67:C72)</f>
        <v>52419</v>
      </c>
      <c r="D73" s="47">
        <f t="shared" si="49"/>
        <v>49669</v>
      </c>
      <c r="E73" s="47">
        <f t="shared" si="49"/>
        <v>60863</v>
      </c>
      <c r="F73" s="33">
        <f t="shared" ref="F73" si="50">+SUM(F67:F72)</f>
        <v>58931.259519403407</v>
      </c>
      <c r="G73" s="33">
        <f t="shared" ref="G73" si="51">+SUM(G67:G72)</f>
        <v>56977.406153409291</v>
      </c>
      <c r="H73" s="33">
        <f t="shared" ref="H73" si="52">+SUM(H67:H72)</f>
        <v>54810.021146367137</v>
      </c>
      <c r="I73" s="33">
        <f t="shared" ref="I73" si="53">+SUM(I67:I72)</f>
        <v>54542.31090232273</v>
      </c>
      <c r="J73" s="33">
        <f t="shared" ref="J73" si="54">+SUM(J67:J72)</f>
        <v>51878.474135731427</v>
      </c>
    </row>
    <row r="74" spans="2:10" ht="3.75" customHeight="1" x14ac:dyDescent="0.3">
      <c r="C74" s="46"/>
      <c r="D74" s="46"/>
      <c r="E74" s="46"/>
    </row>
    <row r="75" spans="2:10" x14ac:dyDescent="0.3">
      <c r="B75" s="32" t="s">
        <v>421</v>
      </c>
      <c r="C75" s="47">
        <f>+'Actual data'!G75</f>
        <v>-38484</v>
      </c>
      <c r="D75" s="47">
        <f>+'Actual data'!H75</f>
        <v>-41017</v>
      </c>
      <c r="E75" s="47">
        <f>+'Actual data'!I75</f>
        <v>-44567</v>
      </c>
      <c r="F75" s="44">
        <v>-44567</v>
      </c>
      <c r="G75" s="44">
        <v>-44567</v>
      </c>
      <c r="H75" s="44">
        <v>-44567</v>
      </c>
      <c r="I75" s="44">
        <v>-44567</v>
      </c>
      <c r="J75" s="44">
        <v>-44567</v>
      </c>
    </row>
    <row r="76" spans="2:10" ht="3.75" customHeight="1" x14ac:dyDescent="0.3">
      <c r="C76" s="46"/>
      <c r="D76" s="46"/>
      <c r="E76" s="46"/>
      <c r="F76" s="43"/>
      <c r="G76" s="43"/>
      <c r="H76" s="43"/>
      <c r="I76" s="43"/>
      <c r="J76" s="43"/>
    </row>
    <row r="77" spans="2:10" x14ac:dyDescent="0.3">
      <c r="B77" s="32" t="s">
        <v>431</v>
      </c>
      <c r="C77" s="47">
        <f>+'Actual data'!G77</f>
        <v>-1613</v>
      </c>
      <c r="D77" s="47">
        <f>+'Actual data'!H77</f>
        <v>-1906</v>
      </c>
      <c r="E77" s="47">
        <f>+'Actual data'!I77</f>
        <v>-1832</v>
      </c>
      <c r="F77" s="44">
        <v>-1832</v>
      </c>
      <c r="G77" s="44">
        <v>-1832</v>
      </c>
      <c r="H77" s="44">
        <v>-1832</v>
      </c>
      <c r="I77" s="44">
        <v>-1832</v>
      </c>
      <c r="J77" s="44">
        <v>-1832</v>
      </c>
    </row>
    <row r="78" spans="2:10" ht="3.75" customHeight="1" x14ac:dyDescent="0.3">
      <c r="C78" s="46"/>
      <c r="D78" s="46"/>
      <c r="E78" s="46"/>
    </row>
    <row r="79" spans="2:10" s="3" customFormat="1" ht="12.5" thickBot="1" x14ac:dyDescent="0.35">
      <c r="B79" s="30" t="s">
        <v>445</v>
      </c>
      <c r="C79" s="48">
        <f t="shared" ref="C79:E79" si="55">+C65+C73+C75+C77</f>
        <v>41079</v>
      </c>
      <c r="D79" s="48">
        <f t="shared" si="55"/>
        <v>39274</v>
      </c>
      <c r="E79" s="48">
        <f t="shared" si="55"/>
        <v>50925</v>
      </c>
      <c r="F79" s="31">
        <f t="shared" ref="F79:J79" si="56">+F65+F73+F75+F77</f>
        <v>51683.3105194034</v>
      </c>
      <c r="G79" s="31">
        <f t="shared" si="56"/>
        <v>52520.448153409292</v>
      </c>
      <c r="H79" s="31">
        <f t="shared" si="56"/>
        <v>53136.844146367133</v>
      </c>
      <c r="I79" s="31">
        <f t="shared" si="56"/>
        <v>55988.179902322736</v>
      </c>
      <c r="J79" s="31">
        <f t="shared" si="56"/>
        <v>56526.304135731436</v>
      </c>
    </row>
    <row r="80" spans="2:10" s="36" customFormat="1" ht="9.5" x14ac:dyDescent="0.25">
      <c r="B80" s="35" t="s">
        <v>267</v>
      </c>
      <c r="C80" s="36">
        <f t="shared" ref="C80:E80" si="57">+C79-C63</f>
        <v>0</v>
      </c>
      <c r="D80" s="36">
        <f t="shared" si="57"/>
        <v>0</v>
      </c>
      <c r="E80" s="36">
        <f t="shared" si="57"/>
        <v>0</v>
      </c>
      <c r="F80" s="36">
        <f t="shared" ref="F80" si="58">+F79-F63</f>
        <v>0</v>
      </c>
      <c r="G80" s="36">
        <f t="shared" ref="G80" si="59">+G79-G63</f>
        <v>0</v>
      </c>
      <c r="H80" s="36">
        <f t="shared" ref="H80" si="60">+H79-H63</f>
        <v>0</v>
      </c>
      <c r="I80" s="36">
        <f t="shared" ref="I80" si="61">+I79-I63</f>
        <v>0</v>
      </c>
      <c r="J80" s="36">
        <f t="shared" ref="J80" si="62">+J79-J63</f>
        <v>0</v>
      </c>
    </row>
    <row r="83" spans="2:10" x14ac:dyDescent="0.3">
      <c r="B83" s="4" t="s">
        <v>270</v>
      </c>
    </row>
    <row r="85" spans="2:10" s="5" customFormat="1" ht="12.5" thickBot="1" x14ac:dyDescent="0.35">
      <c r="B85" s="28" t="s">
        <v>268</v>
      </c>
      <c r="C85" s="45">
        <f>+C$8</f>
        <v>2017</v>
      </c>
      <c r="D85" s="45">
        <f t="shared" ref="D85:J85" si="63">+D$8</f>
        <v>2018</v>
      </c>
      <c r="E85" s="45">
        <f t="shared" si="63"/>
        <v>2019</v>
      </c>
      <c r="F85" s="41">
        <f t="shared" si="63"/>
        <v>2020</v>
      </c>
      <c r="G85" s="42">
        <f t="shared" si="63"/>
        <v>2021</v>
      </c>
      <c r="H85" s="42">
        <f t="shared" si="63"/>
        <v>2022</v>
      </c>
      <c r="I85" s="42">
        <f t="shared" si="63"/>
        <v>2023</v>
      </c>
      <c r="J85" s="42">
        <f t="shared" si="63"/>
        <v>2024</v>
      </c>
    </row>
    <row r="86" spans="2:10" ht="3.75" customHeight="1" x14ac:dyDescent="0.3">
      <c r="C86" s="46"/>
      <c r="D86" s="46"/>
      <c r="E86" s="46"/>
    </row>
    <row r="87" spans="2:10" x14ac:dyDescent="0.3">
      <c r="B87" s="37" t="s">
        <v>264</v>
      </c>
      <c r="C87" s="51"/>
      <c r="D87" s="51">
        <f t="shared" ref="D87:E87" si="64">+D22</f>
        <v>11939</v>
      </c>
      <c r="E87" s="51">
        <f t="shared" si="64"/>
        <v>11918</v>
      </c>
      <c r="F87" s="38">
        <f t="shared" ref="F87:J87" si="65">+F22</f>
        <v>12100</v>
      </c>
      <c r="G87" s="38">
        <f t="shared" si="65"/>
        <v>12390</v>
      </c>
      <c r="H87" s="38">
        <f t="shared" si="65"/>
        <v>12480</v>
      </c>
      <c r="I87" s="38">
        <f t="shared" si="65"/>
        <v>12995</v>
      </c>
      <c r="J87" s="38">
        <f t="shared" si="65"/>
        <v>13160</v>
      </c>
    </row>
    <row r="88" spans="2:10" ht="3.75" customHeight="1" x14ac:dyDescent="0.3">
      <c r="C88" s="46"/>
      <c r="D88" s="46"/>
      <c r="E88" s="46"/>
    </row>
    <row r="89" spans="2:10" x14ac:dyDescent="0.3">
      <c r="B89" s="8" t="s">
        <v>412</v>
      </c>
      <c r="C89" s="46"/>
      <c r="D89" s="46">
        <f t="shared" ref="D89:E89" si="66">+C57-D57</f>
        <v>1997</v>
      </c>
      <c r="E89" s="46">
        <f t="shared" si="66"/>
        <v>-7159</v>
      </c>
      <c r="F89" s="2">
        <f t="shared" ref="F89:J89" si="67">+E57-F57</f>
        <v>-8.3105194034105807</v>
      </c>
      <c r="G89" s="2">
        <f t="shared" si="67"/>
        <v>-237.13763400587777</v>
      </c>
      <c r="H89" s="2">
        <f t="shared" si="67"/>
        <v>-116.39599295784865</v>
      </c>
      <c r="I89" s="2">
        <f t="shared" si="67"/>
        <v>-401.33575595558796</v>
      </c>
      <c r="J89" s="2">
        <f t="shared" si="67"/>
        <v>-138.12423340870009</v>
      </c>
    </row>
    <row r="90" spans="2:10" x14ac:dyDescent="0.3">
      <c r="B90" s="8" t="s">
        <v>271</v>
      </c>
      <c r="C90" s="46"/>
      <c r="D90" s="46">
        <f t="shared" ref="D90:E90" si="68">+C50-D50+D25</f>
        <v>-6226</v>
      </c>
      <c r="E90" s="46">
        <f t="shared" si="68"/>
        <v>-10684</v>
      </c>
      <c r="F90" s="2">
        <f t="shared" ref="F90:J90" si="69">+E50-F50+F25</f>
        <v>-7000</v>
      </c>
      <c r="G90" s="2">
        <f t="shared" si="69"/>
        <v>-7000</v>
      </c>
      <c r="H90" s="2">
        <f t="shared" si="69"/>
        <v>-7000</v>
      </c>
      <c r="I90" s="2">
        <f t="shared" si="69"/>
        <v>-9000</v>
      </c>
      <c r="J90" s="2">
        <f t="shared" si="69"/>
        <v>-7000</v>
      </c>
    </row>
    <row r="91" spans="2:10" x14ac:dyDescent="0.3">
      <c r="B91" s="8" t="s">
        <v>413</v>
      </c>
      <c r="C91" s="46"/>
      <c r="D91" s="46">
        <f t="shared" ref="D91:E91" si="70">+C59-D59</f>
        <v>0</v>
      </c>
      <c r="E91" s="46">
        <f t="shared" si="70"/>
        <v>0</v>
      </c>
      <c r="F91" s="2">
        <f t="shared" ref="F91:J91" si="71">+E59-F59</f>
        <v>0</v>
      </c>
      <c r="G91" s="2">
        <f t="shared" si="71"/>
        <v>0</v>
      </c>
      <c r="H91" s="2">
        <f t="shared" si="71"/>
        <v>0</v>
      </c>
      <c r="I91" s="2">
        <f t="shared" si="71"/>
        <v>0</v>
      </c>
      <c r="J91" s="2">
        <f t="shared" si="71"/>
        <v>0</v>
      </c>
    </row>
    <row r="92" spans="2:10" x14ac:dyDescent="0.3">
      <c r="B92" s="8" t="s">
        <v>416</v>
      </c>
      <c r="C92" s="46"/>
      <c r="D92" s="46">
        <f t="shared" ref="D92:E92" si="72">+C61-D61+D26</f>
        <v>0</v>
      </c>
      <c r="E92" s="46">
        <f t="shared" si="72"/>
        <v>-1</v>
      </c>
      <c r="F92" s="2">
        <f t="shared" ref="F92:J92" si="73">+E61-F61+F26</f>
        <v>0</v>
      </c>
      <c r="G92" s="2">
        <f t="shared" si="73"/>
        <v>0</v>
      </c>
      <c r="H92" s="2">
        <f t="shared" si="73"/>
        <v>0</v>
      </c>
      <c r="I92" s="2">
        <f t="shared" si="73"/>
        <v>0</v>
      </c>
      <c r="J92" s="2">
        <f t="shared" si="73"/>
        <v>0</v>
      </c>
    </row>
    <row r="93" spans="2:10" x14ac:dyDescent="0.3">
      <c r="B93" s="8" t="s">
        <v>274</v>
      </c>
      <c r="C93" s="46"/>
      <c r="D93" s="46">
        <f t="shared" ref="D93:E93" si="74">+D37+D77-C77</f>
        <v>-884</v>
      </c>
      <c r="E93" s="46">
        <f t="shared" si="74"/>
        <v>74</v>
      </c>
      <c r="F93" s="2">
        <f t="shared" ref="F93:J93" si="75">+F37+F77-E77</f>
        <v>-1040.9490000000001</v>
      </c>
      <c r="G93" s="2">
        <f t="shared" si="75"/>
        <v>-1080.009</v>
      </c>
      <c r="H93" s="2">
        <f t="shared" si="75"/>
        <v>-1077.2190000000001</v>
      </c>
      <c r="I93" s="2">
        <f t="shared" si="75"/>
        <v>-1206.9540000000002</v>
      </c>
      <c r="J93" s="2">
        <f t="shared" si="75"/>
        <v>-1239.0390000000002</v>
      </c>
    </row>
    <row r="94" spans="2:10" x14ac:dyDescent="0.3">
      <c r="B94" s="8" t="s">
        <v>437</v>
      </c>
      <c r="C94" s="46"/>
      <c r="D94" s="46">
        <f t="shared" ref="D94:E94" si="76">+D33</f>
        <v>106</v>
      </c>
      <c r="E94" s="46">
        <f t="shared" si="76"/>
        <v>-66</v>
      </c>
      <c r="F94" s="2">
        <f t="shared" ref="F94:J94" si="77">+F33</f>
        <v>0</v>
      </c>
      <c r="G94" s="2">
        <f t="shared" si="77"/>
        <v>0</v>
      </c>
      <c r="H94" s="2">
        <f t="shared" si="77"/>
        <v>0</v>
      </c>
      <c r="I94" s="2">
        <f t="shared" si="77"/>
        <v>0</v>
      </c>
      <c r="J94" s="2">
        <f t="shared" si="77"/>
        <v>0</v>
      </c>
    </row>
    <row r="95" spans="2:10" ht="3.75" customHeight="1" x14ac:dyDescent="0.3">
      <c r="C95" s="46"/>
      <c r="D95" s="46"/>
      <c r="E95" s="46"/>
    </row>
    <row r="96" spans="2:10" x14ac:dyDescent="0.3">
      <c r="B96" s="32" t="s">
        <v>272</v>
      </c>
      <c r="C96" s="47"/>
      <c r="D96" s="47">
        <f t="shared" ref="D96:E96" si="78">+D87+SUM(D89:D94)</f>
        <v>6932</v>
      </c>
      <c r="E96" s="47">
        <f t="shared" si="78"/>
        <v>-5918</v>
      </c>
      <c r="F96" s="33">
        <f t="shared" ref="F96:J96" si="79">+F87+SUM(F89:F94)</f>
        <v>4050.7404805965889</v>
      </c>
      <c r="G96" s="33">
        <f t="shared" si="79"/>
        <v>4072.8533659941222</v>
      </c>
      <c r="H96" s="33">
        <f t="shared" si="79"/>
        <v>4286.3850070421504</v>
      </c>
      <c r="I96" s="33">
        <f t="shared" si="79"/>
        <v>2386.7102440444123</v>
      </c>
      <c r="J96" s="33">
        <f t="shared" si="79"/>
        <v>4782.8367665912992</v>
      </c>
    </row>
    <row r="97" spans="2:10" ht="3.75" customHeight="1" x14ac:dyDescent="0.3">
      <c r="C97" s="46"/>
      <c r="D97" s="46"/>
      <c r="E97" s="46"/>
    </row>
    <row r="98" spans="2:10" x14ac:dyDescent="0.3">
      <c r="B98" s="8" t="s">
        <v>436</v>
      </c>
      <c r="C98" s="46"/>
      <c r="D98" s="46">
        <f t="shared" ref="D98:E98" si="80">+D32</f>
        <v>-1393</v>
      </c>
      <c r="E98" s="46">
        <f t="shared" si="80"/>
        <v>-1619</v>
      </c>
      <c r="F98" s="2">
        <f t="shared" ref="F98:J98" si="81">+F32</f>
        <v>-1619</v>
      </c>
      <c r="G98" s="2">
        <f t="shared" si="81"/>
        <v>-1619</v>
      </c>
      <c r="H98" s="2">
        <f t="shared" si="81"/>
        <v>-1619</v>
      </c>
      <c r="I98" s="2">
        <f t="shared" si="81"/>
        <v>-1619</v>
      </c>
      <c r="J98" s="2">
        <f t="shared" si="81"/>
        <v>-1619</v>
      </c>
    </row>
    <row r="99" spans="2:10" x14ac:dyDescent="0.3">
      <c r="B99" s="8" t="s">
        <v>414</v>
      </c>
      <c r="C99" s="46"/>
      <c r="D99" s="46">
        <f>+SUM(D67:D71)-SUM(C67:C71)+D31</f>
        <v>-3118</v>
      </c>
      <c r="E99" s="46">
        <f t="shared" ref="E99:J99" si="82">+SUM(E67:E71)-SUM(D67:D71)+E31</f>
        <v>11034</v>
      </c>
      <c r="F99" s="2">
        <f t="shared" si="82"/>
        <v>0</v>
      </c>
      <c r="G99" s="2">
        <f t="shared" si="82"/>
        <v>0</v>
      </c>
      <c r="H99" s="2">
        <f t="shared" si="82"/>
        <v>0</v>
      </c>
      <c r="I99" s="2">
        <f t="shared" si="82"/>
        <v>0</v>
      </c>
      <c r="J99" s="2">
        <f t="shared" si="82"/>
        <v>0</v>
      </c>
    </row>
    <row r="100" spans="2:10" x14ac:dyDescent="0.3">
      <c r="B100" s="8" t="s">
        <v>422</v>
      </c>
      <c r="C100" s="46"/>
      <c r="D100" s="46">
        <f t="shared" ref="D100:E100" si="83">+D75-C75</f>
        <v>-2533</v>
      </c>
      <c r="E100" s="46">
        <f t="shared" si="83"/>
        <v>-3550</v>
      </c>
      <c r="F100" s="2">
        <f t="shared" ref="F100:J100" si="84">+F75-E75</f>
        <v>0</v>
      </c>
      <c r="G100" s="2">
        <f t="shared" si="84"/>
        <v>0</v>
      </c>
      <c r="H100" s="2">
        <f t="shared" si="84"/>
        <v>0</v>
      </c>
      <c r="I100" s="2">
        <f t="shared" si="84"/>
        <v>0</v>
      </c>
      <c r="J100" s="2">
        <f t="shared" si="84"/>
        <v>0</v>
      </c>
    </row>
    <row r="101" spans="2:10" x14ac:dyDescent="0.3">
      <c r="B101" s="8" t="s">
        <v>275</v>
      </c>
      <c r="C101" s="46"/>
      <c r="D101" s="46">
        <f t="shared" ref="D101:E101" si="85">+D65-C65-D39</f>
        <v>-20</v>
      </c>
      <c r="E101" s="46">
        <f t="shared" si="85"/>
        <v>-51</v>
      </c>
      <c r="F101" s="2">
        <f t="shared" ref="F101:J101" si="86">+F65-E65-F39</f>
        <v>-500.00000000000045</v>
      </c>
      <c r="G101" s="2">
        <f t="shared" si="86"/>
        <v>-499.99999999999818</v>
      </c>
      <c r="H101" s="2">
        <f t="shared" si="86"/>
        <v>-499.99999999999727</v>
      </c>
      <c r="I101" s="2">
        <f t="shared" si="86"/>
        <v>-499.99999999999773</v>
      </c>
      <c r="J101" s="2">
        <f t="shared" si="86"/>
        <v>-499.99999999999682</v>
      </c>
    </row>
    <row r="102" spans="2:10" ht="3.75" customHeight="1" x14ac:dyDescent="0.3">
      <c r="C102" s="46"/>
      <c r="D102" s="46"/>
      <c r="E102" s="46"/>
    </row>
    <row r="103" spans="2:10" x14ac:dyDescent="0.3">
      <c r="B103" s="32" t="s">
        <v>273</v>
      </c>
      <c r="C103" s="47"/>
      <c r="D103" s="47">
        <f t="shared" ref="D103:E103" si="87">+SUM(D98:D101)</f>
        <v>-7064</v>
      </c>
      <c r="E103" s="47">
        <f t="shared" si="87"/>
        <v>5814</v>
      </c>
      <c r="F103" s="33">
        <f t="shared" ref="F103:J103" si="88">+SUM(F98:F101)</f>
        <v>-2119.0000000000005</v>
      </c>
      <c r="G103" s="33">
        <f t="shared" si="88"/>
        <v>-2118.9999999999982</v>
      </c>
      <c r="H103" s="33">
        <f t="shared" si="88"/>
        <v>-2118.9999999999973</v>
      </c>
      <c r="I103" s="33">
        <f t="shared" si="88"/>
        <v>-2118.9999999999977</v>
      </c>
      <c r="J103" s="33">
        <f t="shared" si="88"/>
        <v>-2118.9999999999968</v>
      </c>
    </row>
    <row r="104" spans="2:10" ht="3.75" customHeight="1" x14ac:dyDescent="0.3">
      <c r="C104" s="46"/>
      <c r="D104" s="46"/>
      <c r="E104" s="46"/>
    </row>
    <row r="105" spans="2:10" s="3" customFormat="1" ht="12.5" thickBot="1" x14ac:dyDescent="0.35">
      <c r="B105" s="30" t="s">
        <v>415</v>
      </c>
      <c r="C105" s="48"/>
      <c r="D105" s="48">
        <f t="shared" ref="D105:E105" si="89">+D96+D103</f>
        <v>-132</v>
      </c>
      <c r="E105" s="48">
        <f t="shared" si="89"/>
        <v>-104</v>
      </c>
      <c r="F105" s="31">
        <f t="shared" ref="F105:J105" si="90">+F96+F103</f>
        <v>1931.7404805965884</v>
      </c>
      <c r="G105" s="31">
        <f t="shared" si="90"/>
        <v>1953.853365994124</v>
      </c>
      <c r="H105" s="31">
        <f t="shared" si="90"/>
        <v>2167.3850070421531</v>
      </c>
      <c r="I105" s="31">
        <f t="shared" si="90"/>
        <v>267.71024404441459</v>
      </c>
      <c r="J105" s="31">
        <f t="shared" si="90"/>
        <v>2663.8367665913024</v>
      </c>
    </row>
    <row r="106" spans="2:10" s="36" customFormat="1" ht="9.5" x14ac:dyDescent="0.25">
      <c r="B106" s="35" t="s">
        <v>267</v>
      </c>
      <c r="D106" s="36">
        <f t="shared" ref="D106:E106" si="91">+D72-C72+D105</f>
        <v>0</v>
      </c>
      <c r="E106" s="36">
        <f t="shared" si="91"/>
        <v>0</v>
      </c>
      <c r="F106" s="36">
        <f t="shared" ref="F106" si="92">+F72-E72+F105</f>
        <v>0</v>
      </c>
      <c r="G106" s="36">
        <f t="shared" ref="G106" si="93">+G72-F72+G105</f>
        <v>1.8189894035458565E-12</v>
      </c>
      <c r="H106" s="36">
        <f t="shared" ref="H106" si="94">+H72-G72+H105</f>
        <v>0</v>
      </c>
      <c r="I106" s="36">
        <f t="shared" ref="I106" si="95">+I72-H72+I105</f>
        <v>2.2737367544323206E-12</v>
      </c>
      <c r="J106" s="36">
        <f t="shared" ref="J106" si="96">+J72-I72+J105</f>
        <v>0</v>
      </c>
    </row>
  </sheetData>
  <pageMargins left="0.7" right="0.7" top="0.75" bottom="0.75" header="0.3" footer="0.3"/>
  <pageSetup paperSize="9" orientation="portrait" r:id="rId1"/>
  <ignoredErrors>
    <ignoredError sqref="D90:E90 F90:J90" formula="1"/>
    <ignoredError sqref="F99:J99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96F1E-636C-4DF5-A47B-C1FD367FAA51}">
  <dimension ref="B2:I106"/>
  <sheetViews>
    <sheetView showGridLines="0" topLeftCell="A91" zoomScale="115" workbookViewId="0">
      <selection activeCell="B10" sqref="B10"/>
    </sheetView>
  </sheetViews>
  <sheetFormatPr defaultColWidth="9.33203125" defaultRowHeight="12" x14ac:dyDescent="0.3"/>
  <cols>
    <col min="1" max="1" width="1.6640625" style="2" customWidth="1"/>
    <col min="2" max="2" width="37.6640625" style="8" bestFit="1" customWidth="1"/>
    <col min="3" max="9" width="10.44140625" style="2" customWidth="1"/>
    <col min="10" max="16384" width="9.33203125" style="2"/>
  </cols>
  <sheetData>
    <row r="2" spans="2:9" s="1" customFormat="1" ht="15.5" x14ac:dyDescent="0.35">
      <c r="B2" s="6" t="s">
        <v>406</v>
      </c>
    </row>
    <row r="3" spans="2:9" s="1" customFormat="1" ht="15.5" x14ac:dyDescent="0.35">
      <c r="B3" s="7" t="s">
        <v>262</v>
      </c>
    </row>
    <row r="6" spans="2:9" x14ac:dyDescent="0.3">
      <c r="B6" s="4" t="s">
        <v>263</v>
      </c>
    </row>
    <row r="8" spans="2:9" s="5" customFormat="1" ht="12.5" thickBot="1" x14ac:dyDescent="0.35">
      <c r="B8" s="28" t="s">
        <v>268</v>
      </c>
      <c r="C8" s="29">
        <v>2013</v>
      </c>
      <c r="D8" s="29">
        <f>+C8+1</f>
        <v>2014</v>
      </c>
      <c r="E8" s="29">
        <f t="shared" ref="E8:I8" si="0">+D8+1</f>
        <v>2015</v>
      </c>
      <c r="F8" s="29">
        <f t="shared" si="0"/>
        <v>2016</v>
      </c>
      <c r="G8" s="29">
        <f t="shared" si="0"/>
        <v>2017</v>
      </c>
      <c r="H8" s="29">
        <f t="shared" si="0"/>
        <v>2018</v>
      </c>
      <c r="I8" s="29">
        <f t="shared" si="0"/>
        <v>2019</v>
      </c>
    </row>
    <row r="9" spans="2:9" ht="3.75" customHeight="1" x14ac:dyDescent="0.3"/>
    <row r="10" spans="2:9" x14ac:dyDescent="0.3">
      <c r="B10" s="8" t="s">
        <v>397</v>
      </c>
      <c r="C10" s="2">
        <f>+SUMIFS(Mapping!C$201:C$289,Mapping!$J$201:$J$289,'Actual data'!$B10)/1000</f>
        <v>28776</v>
      </c>
      <c r="D10" s="2">
        <f>+SUMIFS(Mapping!D$201:D$289,Mapping!$J$201:$J$289,'Actual data'!$B10)/1000</f>
        <v>29846</v>
      </c>
      <c r="E10" s="2">
        <f>+SUMIFS(Mapping!E$201:E$289,Mapping!$J$201:$J$289,'Actual data'!$B10)/1000</f>
        <v>29619</v>
      </c>
      <c r="F10" s="2">
        <f>+SUMIFS(Mapping!F$201:F$289,Mapping!$J$201:$J$289,'Actual data'!$B10)/1000</f>
        <v>27209</v>
      </c>
      <c r="G10" s="2">
        <f>+SUMIFS(Mapping!G$201:G$289,Mapping!$J$201:$J$289,'Actual data'!$B10)/1000</f>
        <v>29488</v>
      </c>
      <c r="H10" s="2">
        <f>+SUMIFS(Mapping!H$201:H$289,Mapping!$J$201:$J$289,'Actual data'!$B10)/1000</f>
        <v>31352</v>
      </c>
      <c r="I10" s="2">
        <f>+SUMIFS(Mapping!I$201:I$289,Mapping!$J$201:$J$289,'Actual data'!$B10)/1000</f>
        <v>32326</v>
      </c>
    </row>
    <row r="11" spans="2:9" x14ac:dyDescent="0.3">
      <c r="B11" s="8" t="s">
        <v>426</v>
      </c>
      <c r="C11" s="2">
        <f>+SUMIFS(Mapping!C$201:C$289,Mapping!$J$201:$J$289,'Actual data'!$B11)/1000</f>
        <v>97</v>
      </c>
      <c r="D11" s="2">
        <f>+SUMIFS(Mapping!D$201:D$289,Mapping!$J$201:$J$289,'Actual data'!$B11)/1000</f>
        <v>120</v>
      </c>
      <c r="E11" s="2">
        <f>+SUMIFS(Mapping!E$201:E$289,Mapping!$J$201:$J$289,'Actual data'!$B11)/1000</f>
        <v>114</v>
      </c>
      <c r="F11" s="2">
        <f>+SUMIFS(Mapping!F$201:F$289,Mapping!$J$201:$J$289,'Actual data'!$B11)/1000</f>
        <v>1325</v>
      </c>
      <c r="G11" s="2">
        <f>+SUMIFS(Mapping!G$201:G$289,Mapping!$J$201:$J$289,'Actual data'!$B11)/1000</f>
        <v>126</v>
      </c>
      <c r="H11" s="2">
        <f>+SUMIFS(Mapping!H$201:H$289,Mapping!$J$201:$J$289,'Actual data'!$B11)/1000</f>
        <v>0</v>
      </c>
      <c r="I11" s="2">
        <f>+SUMIFS(Mapping!I$201:I$289,Mapping!$J$201:$J$289,'Actual data'!$B11)/1000</f>
        <v>48</v>
      </c>
    </row>
    <row r="12" spans="2:9" x14ac:dyDescent="0.3">
      <c r="B12" s="32" t="s">
        <v>407</v>
      </c>
      <c r="C12" s="33">
        <f>+SUM(C10:C11)</f>
        <v>28873</v>
      </c>
      <c r="D12" s="33">
        <f t="shared" ref="D12:I12" si="1">+SUM(D10:D11)</f>
        <v>29966</v>
      </c>
      <c r="E12" s="33">
        <f t="shared" si="1"/>
        <v>29733</v>
      </c>
      <c r="F12" s="33">
        <f t="shared" si="1"/>
        <v>28534</v>
      </c>
      <c r="G12" s="33">
        <f t="shared" si="1"/>
        <v>29614</v>
      </c>
      <c r="H12" s="33">
        <f t="shared" si="1"/>
        <v>31352</v>
      </c>
      <c r="I12" s="33">
        <f t="shared" si="1"/>
        <v>32374</v>
      </c>
    </row>
    <row r="13" spans="2:9" s="34" customFormat="1" x14ac:dyDescent="0.3">
      <c r="B13" s="39" t="s">
        <v>411</v>
      </c>
      <c r="C13" s="40" t="str">
        <f>+IFERROR(C12/B12-1,"n.a.")</f>
        <v>n.a.</v>
      </c>
      <c r="D13" s="40">
        <f t="shared" ref="D13:I13" si="2">+IFERROR(D12/C12-1,"n.a.")</f>
        <v>3.7855435874346366E-2</v>
      </c>
      <c r="E13" s="40">
        <f t="shared" si="2"/>
        <v>-7.7754788760595606E-3</v>
      </c>
      <c r="F13" s="40">
        <f t="shared" si="2"/>
        <v>-4.0325564187939311E-2</v>
      </c>
      <c r="G13" s="40">
        <f t="shared" si="2"/>
        <v>3.7849582953669358E-2</v>
      </c>
      <c r="H13" s="40">
        <f t="shared" si="2"/>
        <v>5.8688458161680224E-2</v>
      </c>
      <c r="I13" s="40">
        <f t="shared" si="2"/>
        <v>3.2597601428935974E-2</v>
      </c>
    </row>
    <row r="14" spans="2:9" ht="3.75" customHeight="1" x14ac:dyDescent="0.3"/>
    <row r="15" spans="2:9" x14ac:dyDescent="0.3">
      <c r="B15" s="8" t="s">
        <v>399</v>
      </c>
      <c r="C15" s="2">
        <f>-SUMIFS(Mapping!C$201:C$289,Mapping!$J$201:$J$289,'Actual data'!$B15)/1000</f>
        <v>-2623</v>
      </c>
      <c r="D15" s="2">
        <f>-SUMIFS(Mapping!D$201:D$289,Mapping!$J$201:$J$289,'Actual data'!$B15)/1000</f>
        <v>-2548</v>
      </c>
      <c r="E15" s="2">
        <f>-SUMIFS(Mapping!E$201:E$289,Mapping!$J$201:$J$289,'Actual data'!$B15)/1000</f>
        <v>-1798</v>
      </c>
      <c r="F15" s="2">
        <f>-SUMIFS(Mapping!F$201:F$289,Mapping!$J$201:$J$289,'Actual data'!$B15)/1000</f>
        <v>-1029</v>
      </c>
      <c r="G15" s="2">
        <f>-SUMIFS(Mapping!G$201:G$289,Mapping!$J$201:$J$289,'Actual data'!$B15)/1000</f>
        <v>-710</v>
      </c>
      <c r="H15" s="2">
        <f>-SUMIFS(Mapping!H$201:H$289,Mapping!$J$201:$J$289,'Actual data'!$B15)/1000</f>
        <v>-775</v>
      </c>
      <c r="I15" s="2">
        <f>-SUMIFS(Mapping!I$201:I$289,Mapping!$J$201:$J$289,'Actual data'!$B15)/1000</f>
        <v>-882</v>
      </c>
    </row>
    <row r="16" spans="2:9" x14ac:dyDescent="0.3">
      <c r="B16" s="8" t="s">
        <v>400</v>
      </c>
      <c r="C16" s="2">
        <f>-SUMIFS(Mapping!C$201:C$289,Mapping!$J$201:$J$289,'Actual data'!$B16)/1000</f>
        <v>0</v>
      </c>
      <c r="D16" s="2">
        <f>-SUMIFS(Mapping!D$201:D$289,Mapping!$J$201:$J$289,'Actual data'!$B16)/1000</f>
        <v>0</v>
      </c>
      <c r="E16" s="2">
        <f>-SUMIFS(Mapping!E$201:E$289,Mapping!$J$201:$J$289,'Actual data'!$B16)/1000</f>
        <v>0</v>
      </c>
      <c r="F16" s="2">
        <f>-SUMIFS(Mapping!F$201:F$289,Mapping!$J$201:$J$289,'Actual data'!$B16)/1000</f>
        <v>0</v>
      </c>
      <c r="G16" s="2">
        <f>-SUMIFS(Mapping!G$201:G$289,Mapping!$J$201:$J$289,'Actual data'!$B16)/1000</f>
        <v>0</v>
      </c>
      <c r="H16" s="2">
        <f>-SUMIFS(Mapping!H$201:H$289,Mapping!$J$201:$J$289,'Actual data'!$B16)/1000</f>
        <v>0</v>
      </c>
      <c r="I16" s="2">
        <f>-SUMIFS(Mapping!I$201:I$289,Mapping!$J$201:$J$289,'Actual data'!$B16)/1000</f>
        <v>0</v>
      </c>
    </row>
    <row r="17" spans="2:9" x14ac:dyDescent="0.3">
      <c r="B17" s="8" t="s">
        <v>404</v>
      </c>
      <c r="C17" s="2">
        <f>-SUMIFS(Mapping!C$201:C$289,Mapping!$J$201:$J$289,'Actual data'!$B17)/1000</f>
        <v>-9218</v>
      </c>
      <c r="D17" s="2">
        <f>-SUMIFS(Mapping!D$201:D$289,Mapping!$J$201:$J$289,'Actual data'!$B17)/1000</f>
        <v>-9743</v>
      </c>
      <c r="E17" s="2">
        <f>-SUMIFS(Mapping!E$201:E$289,Mapping!$J$201:$J$289,'Actual data'!$B17)/1000</f>
        <v>-10257</v>
      </c>
      <c r="F17" s="2">
        <f>-SUMIFS(Mapping!F$201:F$289,Mapping!$J$201:$J$289,'Actual data'!$B17)/1000</f>
        <v>-12226</v>
      </c>
      <c r="G17" s="2">
        <f>-SUMIFS(Mapping!G$201:G$289,Mapping!$J$201:$J$289,'Actual data'!$B17)/1000</f>
        <v>-9650</v>
      </c>
      <c r="H17" s="2">
        <f>-SUMIFS(Mapping!H$201:H$289,Mapping!$J$201:$J$289,'Actual data'!$B17)/1000</f>
        <v>-11396</v>
      </c>
      <c r="I17" s="2">
        <f>-SUMIFS(Mapping!I$201:I$289,Mapping!$J$201:$J$289,'Actual data'!$B17)/1000</f>
        <v>-11688</v>
      </c>
    </row>
    <row r="18" spans="2:9" x14ac:dyDescent="0.3">
      <c r="B18" s="8" t="s">
        <v>402</v>
      </c>
      <c r="C18" s="2">
        <f>-SUMIFS(Mapping!C$201:C$289,Mapping!$J$201:$J$289,'Actual data'!$B18)/1000</f>
        <v>-5086</v>
      </c>
      <c r="D18" s="2">
        <f>-SUMIFS(Mapping!D$201:D$289,Mapping!$J$201:$J$289,'Actual data'!$B18)/1000</f>
        <v>-5072</v>
      </c>
      <c r="E18" s="2">
        <f>-SUMIFS(Mapping!E$201:E$289,Mapping!$J$201:$J$289,'Actual data'!$B18)/1000</f>
        <v>-4727</v>
      </c>
      <c r="F18" s="2">
        <f>-SUMIFS(Mapping!F$201:F$289,Mapping!$J$201:$J$289,'Actual data'!$B18)/1000</f>
        <v>-4714</v>
      </c>
      <c r="G18" s="2">
        <f>-SUMIFS(Mapping!G$201:G$289,Mapping!$J$201:$J$289,'Actual data'!$B18)/1000</f>
        <v>-5041</v>
      </c>
      <c r="H18" s="2">
        <f>-SUMIFS(Mapping!H$201:H$289,Mapping!$J$201:$J$289,'Actual data'!$B18)/1000</f>
        <v>-5577</v>
      </c>
      <c r="I18" s="2">
        <f>-SUMIFS(Mapping!I$201:I$289,Mapping!$J$201:$J$289,'Actual data'!$B18)/1000</f>
        <v>-6083</v>
      </c>
    </row>
    <row r="19" spans="2:9" x14ac:dyDescent="0.3">
      <c r="B19" s="8" t="s">
        <v>403</v>
      </c>
      <c r="C19" s="2">
        <f>-SUMIFS(Mapping!C$201:C$289,Mapping!$J$201:$J$289,'Actual data'!$B19)/1000</f>
        <v>-1800</v>
      </c>
      <c r="D19" s="2">
        <f>-SUMIFS(Mapping!D$201:D$289,Mapping!$J$201:$J$289,'Actual data'!$B19)/1000</f>
        <v>-1732</v>
      </c>
      <c r="E19" s="2">
        <f>-SUMIFS(Mapping!E$201:E$289,Mapping!$J$201:$J$289,'Actual data'!$B19)/1000</f>
        <v>-1674</v>
      </c>
      <c r="F19" s="2">
        <f>-SUMIFS(Mapping!F$201:F$289,Mapping!$J$201:$J$289,'Actual data'!$B19)/1000</f>
        <v>-1719</v>
      </c>
      <c r="G19" s="2">
        <f>-SUMIFS(Mapping!G$201:G$289,Mapping!$J$201:$J$289,'Actual data'!$B19)/1000</f>
        <v>-1989</v>
      </c>
      <c r="H19" s="2">
        <f>-SUMIFS(Mapping!H$201:H$289,Mapping!$J$201:$J$289,'Actual data'!$B19)/1000</f>
        <v>-1665</v>
      </c>
      <c r="I19" s="2">
        <f>-SUMIFS(Mapping!I$201:I$289,Mapping!$J$201:$J$289,'Actual data'!$B19)/1000</f>
        <v>-1803</v>
      </c>
    </row>
    <row r="20" spans="2:9" x14ac:dyDescent="0.3">
      <c r="B20" s="32" t="s">
        <v>401</v>
      </c>
      <c r="C20" s="33">
        <f t="shared" ref="C20:I20" si="3">+SUM(C15:C19)</f>
        <v>-18727</v>
      </c>
      <c r="D20" s="33">
        <f t="shared" si="3"/>
        <v>-19095</v>
      </c>
      <c r="E20" s="33">
        <f t="shared" si="3"/>
        <v>-18456</v>
      </c>
      <c r="F20" s="33">
        <f t="shared" si="3"/>
        <v>-19688</v>
      </c>
      <c r="G20" s="33">
        <f t="shared" si="3"/>
        <v>-17390</v>
      </c>
      <c r="H20" s="33">
        <f t="shared" si="3"/>
        <v>-19413</v>
      </c>
      <c r="I20" s="33">
        <f t="shared" si="3"/>
        <v>-20456</v>
      </c>
    </row>
    <row r="21" spans="2:9" ht="3.75" customHeight="1" x14ac:dyDescent="0.3"/>
    <row r="22" spans="2:9" ht="12.5" thickBot="1" x14ac:dyDescent="0.35">
      <c r="B22" s="30" t="s">
        <v>264</v>
      </c>
      <c r="C22" s="31">
        <f t="shared" ref="C22:I22" si="4">+C12+C20</f>
        <v>10146</v>
      </c>
      <c r="D22" s="31">
        <f t="shared" si="4"/>
        <v>10871</v>
      </c>
      <c r="E22" s="31">
        <f t="shared" si="4"/>
        <v>11277</v>
      </c>
      <c r="F22" s="31">
        <f t="shared" si="4"/>
        <v>8846</v>
      </c>
      <c r="G22" s="31">
        <f t="shared" si="4"/>
        <v>12224</v>
      </c>
      <c r="H22" s="31">
        <f t="shared" si="4"/>
        <v>11939</v>
      </c>
      <c r="I22" s="31">
        <f t="shared" si="4"/>
        <v>11918</v>
      </c>
    </row>
    <row r="23" spans="2:9" s="34" customFormat="1" x14ac:dyDescent="0.3">
      <c r="B23" s="39" t="s">
        <v>409</v>
      </c>
      <c r="C23" s="34">
        <f>+C22/C$12</f>
        <v>0.35140096283725281</v>
      </c>
      <c r="D23" s="34">
        <f t="shared" ref="D23:I23" si="5">+D22/D$12</f>
        <v>0.36277781485683774</v>
      </c>
      <c r="E23" s="34">
        <f t="shared" si="5"/>
        <v>0.3792755524165069</v>
      </c>
      <c r="F23" s="34">
        <f t="shared" si="5"/>
        <v>0.31001612111866544</v>
      </c>
      <c r="G23" s="34">
        <f t="shared" si="5"/>
        <v>0.41277774025798608</v>
      </c>
      <c r="H23" s="34">
        <f t="shared" si="5"/>
        <v>0.38080505230926259</v>
      </c>
      <c r="I23" s="34">
        <f t="shared" si="5"/>
        <v>0.36813492308642737</v>
      </c>
    </row>
    <row r="24" spans="2:9" ht="3.75" customHeight="1" x14ac:dyDescent="0.3"/>
    <row r="25" spans="2:9" x14ac:dyDescent="0.3">
      <c r="B25" s="8" t="s">
        <v>260</v>
      </c>
      <c r="C25" s="2">
        <f>-SUMIFS(Mapping!C$201:C$289,Mapping!$J$201:$J$289,'Actual data'!$B25)/1000</f>
        <v>-4849</v>
      </c>
      <c r="D25" s="2">
        <f>-SUMIFS(Mapping!D$201:D$289,Mapping!$J$201:$J$289,'Actual data'!$B25)/1000</f>
        <v>-5193</v>
      </c>
      <c r="E25" s="2">
        <f>-SUMIFS(Mapping!E$201:E$289,Mapping!$J$201:$J$289,'Actual data'!$B25)/1000</f>
        <v>-5295</v>
      </c>
      <c r="F25" s="2">
        <f>-SUMIFS(Mapping!F$201:F$289,Mapping!$J$201:$J$289,'Actual data'!$B25)/1000</f>
        <v>-5017</v>
      </c>
      <c r="G25" s="2">
        <f>-SUMIFS(Mapping!G$201:G$289,Mapping!$J$201:$J$289,'Actual data'!$B25)/1000</f>
        <v>-6532</v>
      </c>
      <c r="H25" s="2">
        <f>-SUMIFS(Mapping!H$201:H$289,Mapping!$J$201:$J$289,'Actual data'!$B25)/1000</f>
        <v>-6034</v>
      </c>
      <c r="I25" s="2">
        <f>-SUMIFS(Mapping!I$201:I$289,Mapping!$J$201:$J$289,'Actual data'!$B25)/1000</f>
        <v>-6193</v>
      </c>
    </row>
    <row r="26" spans="2:9" x14ac:dyDescent="0.3">
      <c r="B26" s="8" t="s">
        <v>408</v>
      </c>
      <c r="C26" s="2">
        <f>-SUMIFS(Mapping!C$201:C$289,Mapping!$J$201:$J$289,'Actual data'!$B26)/1000</f>
        <v>-767</v>
      </c>
      <c r="D26" s="2">
        <f>-SUMIFS(Mapping!D$201:D$289,Mapping!$J$201:$J$289,'Actual data'!$B26)/1000</f>
        <v>-468</v>
      </c>
      <c r="E26" s="2">
        <f>-SUMIFS(Mapping!E$201:E$289,Mapping!$J$201:$J$289,'Actual data'!$B26)/1000</f>
        <v>-353</v>
      </c>
      <c r="F26" s="2">
        <f>-SUMIFS(Mapping!F$201:F$289,Mapping!$J$201:$J$289,'Actual data'!$B26)/1000</f>
        <v>-305</v>
      </c>
      <c r="G26" s="2">
        <f>-SUMIFS(Mapping!G$201:G$289,Mapping!$J$201:$J$289,'Actual data'!$B26)/1000</f>
        <v>-60</v>
      </c>
      <c r="H26" s="2">
        <f>-SUMIFS(Mapping!H$201:H$289,Mapping!$J$201:$J$289,'Actual data'!$B26)/1000</f>
        <v>0</v>
      </c>
      <c r="I26" s="2">
        <f>-SUMIFS(Mapping!I$201:I$289,Mapping!$J$201:$J$289,'Actual data'!$B26)/1000</f>
        <v>0</v>
      </c>
    </row>
    <row r="27" spans="2:9" ht="3.75" customHeight="1" x14ac:dyDescent="0.3"/>
    <row r="28" spans="2:9" ht="12.5" thickBot="1" x14ac:dyDescent="0.35">
      <c r="B28" s="30" t="s">
        <v>265</v>
      </c>
      <c r="C28" s="31">
        <f>+C22+SUM(C25:C26)</f>
        <v>4530</v>
      </c>
      <c r="D28" s="31">
        <f t="shared" ref="D28:I28" si="6">+D22+SUM(D25:D26)</f>
        <v>5210</v>
      </c>
      <c r="E28" s="31">
        <f t="shared" si="6"/>
        <v>5629</v>
      </c>
      <c r="F28" s="31">
        <f t="shared" si="6"/>
        <v>3524</v>
      </c>
      <c r="G28" s="31">
        <f t="shared" si="6"/>
        <v>5632</v>
      </c>
      <c r="H28" s="31">
        <f t="shared" si="6"/>
        <v>5905</v>
      </c>
      <c r="I28" s="31">
        <f t="shared" si="6"/>
        <v>5725</v>
      </c>
    </row>
    <row r="29" spans="2:9" s="34" customFormat="1" x14ac:dyDescent="0.3">
      <c r="B29" s="39" t="s">
        <v>409</v>
      </c>
      <c r="C29" s="34">
        <f>+C28/C$12</f>
        <v>0.15689398399889171</v>
      </c>
      <c r="D29" s="34">
        <f t="shared" ref="D29" si="7">+D28/D$12</f>
        <v>0.17386371220716812</v>
      </c>
      <c r="E29" s="34">
        <f t="shared" ref="E29" si="8">+E28/E$12</f>
        <v>0.18931826589984194</v>
      </c>
      <c r="F29" s="34">
        <f t="shared" ref="F29" si="9">+F28/F$12</f>
        <v>0.12350178734141726</v>
      </c>
      <c r="G29" s="34">
        <f t="shared" ref="G29" si="10">+G28/G$12</f>
        <v>0.19018032011886271</v>
      </c>
      <c r="H29" s="34">
        <f t="shared" ref="H29" si="11">+H28/H$12</f>
        <v>0.18834524113294207</v>
      </c>
      <c r="I29" s="34">
        <f t="shared" ref="I29" si="12">+I28/I$12</f>
        <v>0.17683943905603261</v>
      </c>
    </row>
    <row r="30" spans="2:9" ht="3.75" customHeight="1" x14ac:dyDescent="0.3"/>
    <row r="31" spans="2:9" x14ac:dyDescent="0.3">
      <c r="B31" s="8" t="s">
        <v>261</v>
      </c>
      <c r="C31" s="2">
        <f>SUMIFS(Mapping!C$201:C$289,Mapping!$J$201:$J$289,'Actual data'!$B31)/1000</f>
        <v>0</v>
      </c>
      <c r="D31" s="2">
        <f>SUMIFS(Mapping!D$201:D$289,Mapping!$J$201:$J$289,'Actual data'!$B31)/1000</f>
        <v>0</v>
      </c>
      <c r="E31" s="2">
        <f>SUMIFS(Mapping!E$201:E$289,Mapping!$J$201:$J$289,'Actual data'!$B31)/1000</f>
        <v>0</v>
      </c>
      <c r="F31" s="2">
        <f>SUMIFS(Mapping!F$201:F$289,Mapping!$J$201:$J$289,'Actual data'!$B31)/1000</f>
        <v>-50</v>
      </c>
      <c r="G31" s="2">
        <f>SUMIFS(Mapping!G$201:G$289,Mapping!$J$201:$J$289,'Actual data'!$B31)/1000</f>
        <v>0</v>
      </c>
      <c r="H31" s="2">
        <f>SUMIFS(Mapping!H$201:H$289,Mapping!$J$201:$J$289,'Actual data'!$B31)/1000</f>
        <v>-236</v>
      </c>
      <c r="I31" s="2">
        <f>SUMIFS(Mapping!I$201:I$289,Mapping!$J$201:$J$289,'Actual data'!$B31)/1000</f>
        <v>-56</v>
      </c>
    </row>
    <row r="32" spans="2:9" x14ac:dyDescent="0.3">
      <c r="B32" s="8" t="s">
        <v>436</v>
      </c>
      <c r="C32" s="2">
        <f>SUMIFS(Mapping!C$201:C$289,Mapping!$J$201:$J$289,'Actual data'!$B32)/1000</f>
        <v>-973</v>
      </c>
      <c r="D32" s="2">
        <f>SUMIFS(Mapping!D$201:D$289,Mapping!$J$201:$J$289,'Actual data'!$B32)/1000</f>
        <v>-1420</v>
      </c>
      <c r="E32" s="2">
        <f>SUMIFS(Mapping!E$201:E$289,Mapping!$J$201:$J$289,'Actual data'!$B32)/1000</f>
        <v>-1627</v>
      </c>
      <c r="F32" s="2">
        <f>SUMIFS(Mapping!F$201:F$289,Mapping!$J$201:$J$289,'Actual data'!$B32)/1000</f>
        <v>-1230</v>
      </c>
      <c r="G32" s="2">
        <f>SUMIFS(Mapping!G$201:G$289,Mapping!$J$201:$J$289,'Actual data'!$B32)/1000</f>
        <v>-1257</v>
      </c>
      <c r="H32" s="2">
        <f>SUMIFS(Mapping!H$201:H$289,Mapping!$J$201:$J$289,'Actual data'!$B32)/1000</f>
        <v>-1393</v>
      </c>
      <c r="I32" s="2">
        <f>SUMIFS(Mapping!I$201:I$289,Mapping!$J$201:$J$289,'Actual data'!$B32)/1000</f>
        <v>-1619</v>
      </c>
    </row>
    <row r="33" spans="2:9" x14ac:dyDescent="0.3">
      <c r="B33" s="8" t="s">
        <v>437</v>
      </c>
      <c r="C33" s="2">
        <f>SUMIFS(Mapping!C$201:C$289,Mapping!$J$201:$J$289,'Actual data'!$B33)/1000</f>
        <v>-19</v>
      </c>
      <c r="D33" s="2">
        <f>SUMIFS(Mapping!D$201:D$289,Mapping!$J$201:$J$289,'Actual data'!$B33)/1000</f>
        <v>200</v>
      </c>
      <c r="E33" s="2">
        <f>SUMIFS(Mapping!E$201:E$289,Mapping!$J$201:$J$289,'Actual data'!$B33)/1000</f>
        <v>108</v>
      </c>
      <c r="F33" s="2">
        <f>SUMIFS(Mapping!F$201:F$289,Mapping!$J$201:$J$289,'Actual data'!$B33)/1000</f>
        <v>381</v>
      </c>
      <c r="G33" s="2">
        <f>SUMIFS(Mapping!G$201:G$289,Mapping!$J$201:$J$289,'Actual data'!$B33)/1000</f>
        <v>129</v>
      </c>
      <c r="H33" s="2">
        <f>SUMIFS(Mapping!H$201:H$289,Mapping!$J$201:$J$289,'Actual data'!$B33)/1000</f>
        <v>106</v>
      </c>
      <c r="I33" s="2">
        <f>SUMIFS(Mapping!I$201:I$289,Mapping!$J$201:$J$289,'Actual data'!$B33)/1000</f>
        <v>-66</v>
      </c>
    </row>
    <row r="34" spans="2:9" ht="3.75" customHeight="1" x14ac:dyDescent="0.3"/>
    <row r="35" spans="2:9" ht="12.5" thickBot="1" x14ac:dyDescent="0.35">
      <c r="B35" s="30" t="s">
        <v>438</v>
      </c>
      <c r="C35" s="31">
        <f>+C28+SUM(C31:C33)</f>
        <v>3538</v>
      </c>
      <c r="D35" s="31">
        <f t="shared" ref="D35:I35" si="13">+D28+SUM(D31:D33)</f>
        <v>3990</v>
      </c>
      <c r="E35" s="31">
        <f t="shared" si="13"/>
        <v>4110</v>
      </c>
      <c r="F35" s="31">
        <f t="shared" si="13"/>
        <v>2625</v>
      </c>
      <c r="G35" s="31">
        <f t="shared" si="13"/>
        <v>4504</v>
      </c>
      <c r="H35" s="31">
        <f t="shared" si="13"/>
        <v>4382</v>
      </c>
      <c r="I35" s="31">
        <f t="shared" si="13"/>
        <v>3984</v>
      </c>
    </row>
    <row r="36" spans="2:9" ht="3.75" customHeight="1" x14ac:dyDescent="0.3"/>
    <row r="37" spans="2:9" x14ac:dyDescent="0.3">
      <c r="B37" s="8" t="s">
        <v>439</v>
      </c>
      <c r="C37" s="2">
        <f>-SUMIFS(Mapping!C$201:C$289,Mapping!$J$201:$J$289,'Actual data'!$B37)/1000</f>
        <v>-1085</v>
      </c>
      <c r="D37" s="2">
        <f>-SUMIFS(Mapping!D$201:D$289,Mapping!$J$201:$J$289,'Actual data'!$B37)/1000</f>
        <v>-1192</v>
      </c>
      <c r="E37" s="2">
        <f>-SUMIFS(Mapping!E$201:E$289,Mapping!$J$201:$J$289,'Actual data'!$B37)/1000</f>
        <v>-1041</v>
      </c>
      <c r="F37" s="2">
        <f>-SUMIFS(Mapping!F$201:F$289,Mapping!$J$201:$J$289,'Actual data'!$B37)/1000</f>
        <v>-776</v>
      </c>
      <c r="G37" s="2">
        <f>-SUMIFS(Mapping!G$201:G$289,Mapping!$J$201:$J$289,'Actual data'!$B37)/1000</f>
        <v>-508</v>
      </c>
      <c r="H37" s="2">
        <f>-SUMIFS(Mapping!H$201:H$289,Mapping!$J$201:$J$289,'Actual data'!$B37)/1000</f>
        <v>-591</v>
      </c>
      <c r="I37" s="2">
        <f>-SUMIFS(Mapping!I$201:I$289,Mapping!$J$201:$J$289,'Actual data'!$B37)/1000</f>
        <v>0</v>
      </c>
    </row>
    <row r="38" spans="2:9" ht="3.75" customHeight="1" x14ac:dyDescent="0.3"/>
    <row r="39" spans="2:9" ht="12.5" thickBot="1" x14ac:dyDescent="0.35">
      <c r="B39" s="30" t="s">
        <v>266</v>
      </c>
      <c r="C39" s="31">
        <f>+C35+C37</f>
        <v>2453</v>
      </c>
      <c r="D39" s="31">
        <f t="shared" ref="D39:I39" si="14">+D35+D37</f>
        <v>2798</v>
      </c>
      <c r="E39" s="31">
        <f t="shared" si="14"/>
        <v>3069</v>
      </c>
      <c r="F39" s="31">
        <f t="shared" si="14"/>
        <v>1849</v>
      </c>
      <c r="G39" s="31">
        <f t="shared" si="14"/>
        <v>3996</v>
      </c>
      <c r="H39" s="31">
        <f t="shared" si="14"/>
        <v>3791</v>
      </c>
      <c r="I39" s="31">
        <f t="shared" si="14"/>
        <v>3984</v>
      </c>
    </row>
    <row r="40" spans="2:9" s="36" customFormat="1" ht="9.5" x14ac:dyDescent="0.25">
      <c r="B40" s="35" t="s">
        <v>267</v>
      </c>
      <c r="C40" s="36">
        <f>+C39-Mapping!C285/1000</f>
        <v>0</v>
      </c>
      <c r="D40" s="36">
        <f>+D39-Mapping!D285/1000</f>
        <v>0</v>
      </c>
      <c r="E40" s="36">
        <f>+E39-Mapping!E285/1000</f>
        <v>0</v>
      </c>
      <c r="F40" s="36">
        <f>+F39-Mapping!F285/1000</f>
        <v>0</v>
      </c>
      <c r="G40" s="36">
        <f>+G39-Mapping!G285/1000</f>
        <v>0</v>
      </c>
      <c r="H40" s="36">
        <f>+H39-Mapping!H285/1000</f>
        <v>0</v>
      </c>
      <c r="I40" s="36">
        <f>+I39-Mapping!I285/1000</f>
        <v>0</v>
      </c>
    </row>
    <row r="43" spans="2:9" x14ac:dyDescent="0.3">
      <c r="B43" s="4" t="s">
        <v>269</v>
      </c>
    </row>
    <row r="45" spans="2:9" ht="12.5" thickBot="1" x14ac:dyDescent="0.35">
      <c r="B45" s="28" t="s">
        <v>268</v>
      </c>
      <c r="C45" s="29">
        <v>2013</v>
      </c>
      <c r="D45" s="29">
        <f>+C45+1</f>
        <v>2014</v>
      </c>
      <c r="E45" s="29">
        <f t="shared" ref="E45:I45" si="15">+D45+1</f>
        <v>2015</v>
      </c>
      <c r="F45" s="29">
        <f t="shared" si="15"/>
        <v>2016</v>
      </c>
      <c r="G45" s="29">
        <f t="shared" si="15"/>
        <v>2017</v>
      </c>
      <c r="H45" s="29">
        <f t="shared" si="15"/>
        <v>2018</v>
      </c>
      <c r="I45" s="29">
        <f t="shared" si="15"/>
        <v>2019</v>
      </c>
    </row>
    <row r="46" spans="2:9" ht="3.75" customHeight="1" x14ac:dyDescent="0.3"/>
    <row r="47" spans="2:9" x14ac:dyDescent="0.3">
      <c r="B47" s="8" t="s">
        <v>254</v>
      </c>
      <c r="C47" s="2">
        <f>+SUMIFS(Mapping!C$5:C$106,Mapping!$J$5:$J$106,'Actual data'!$B47)/1000-SUMIFS(Mapping!C$110:C$191,Mapping!$J$110:$J$191,'Actual data'!$B47)/1000</f>
        <v>38</v>
      </c>
      <c r="D47" s="2">
        <f>+SUMIFS(Mapping!D$5:D$106,Mapping!$J$5:$J$106,'Actual data'!$B47)/1000-SUMIFS(Mapping!D$110:D$191,Mapping!$J$110:$J$191,'Actual data'!$B47)/1000</f>
        <v>10</v>
      </c>
      <c r="E47" s="2">
        <f>+SUMIFS(Mapping!E$5:E$106,Mapping!$J$5:$J$106,'Actual data'!$B47)/1000-SUMIFS(Mapping!E$110:E$191,Mapping!$J$110:$J$191,'Actual data'!$B47)/1000</f>
        <v>17</v>
      </c>
      <c r="F47" s="2">
        <f>+SUMIFS(Mapping!F$5:F$106,Mapping!$J$5:$J$106,'Actual data'!$B47)/1000-SUMIFS(Mapping!F$110:F$191,Mapping!$J$110:$J$191,'Actual data'!$B47)/1000</f>
        <v>3846</v>
      </c>
      <c r="G47" s="2">
        <f>+SUMIFS(Mapping!G$5:G$106,Mapping!$J$5:$J$106,'Actual data'!$B47)/1000-SUMIFS(Mapping!G$110:G$191,Mapping!$J$110:$J$191,'Actual data'!$B47)/1000</f>
        <v>17</v>
      </c>
      <c r="H47" s="2">
        <f>+SUMIFS(Mapping!H$5:H$106,Mapping!$J$5:$J$106,'Actual data'!$B47)/1000-SUMIFS(Mapping!H$110:H$191,Mapping!$J$110:$J$191,'Actual data'!$B47)/1000</f>
        <v>13</v>
      </c>
      <c r="I47" s="2">
        <f>+SUMIFS(Mapping!I$5:I$106,Mapping!$J$5:$J$106,'Actual data'!$B47)/1000-SUMIFS(Mapping!I$110:I$191,Mapping!$J$110:$J$191,'Actual data'!$B47)/1000</f>
        <v>3</v>
      </c>
    </row>
    <row r="48" spans="2:9" x14ac:dyDescent="0.3">
      <c r="B48" s="8" t="s">
        <v>255</v>
      </c>
      <c r="C48" s="2">
        <f>+SUMIFS(Mapping!C$5:C$106,Mapping!$J$5:$J$106,'Actual data'!$B48)/1000-SUMIFS(Mapping!C$110:C$191,Mapping!$J$110:$J$191,'Actual data'!$B48)/1000</f>
        <v>3821</v>
      </c>
      <c r="D48" s="2">
        <f>+SUMIFS(Mapping!D$5:D$106,Mapping!$J$5:$J$106,'Actual data'!$B48)/1000-SUMIFS(Mapping!D$110:D$191,Mapping!$J$110:$J$191,'Actual data'!$B48)/1000</f>
        <v>3821</v>
      </c>
      <c r="E48" s="2">
        <f>+SUMIFS(Mapping!E$5:E$106,Mapping!$J$5:$J$106,'Actual data'!$B48)/1000-SUMIFS(Mapping!E$110:E$191,Mapping!$J$110:$J$191,'Actual data'!$B48)/1000</f>
        <v>3821</v>
      </c>
      <c r="F48" s="2">
        <f>+SUMIFS(Mapping!F$5:F$106,Mapping!$J$5:$J$106,'Actual data'!$B48)/1000-SUMIFS(Mapping!F$110:F$191,Mapping!$J$110:$J$191,'Actual data'!$B48)/1000</f>
        <v>0</v>
      </c>
      <c r="G48" s="2">
        <f>+SUMIFS(Mapping!G$5:G$106,Mapping!$J$5:$J$106,'Actual data'!$B48)/1000-SUMIFS(Mapping!G$110:G$191,Mapping!$J$110:$J$191,'Actual data'!$B48)/1000</f>
        <v>3821</v>
      </c>
      <c r="H48" s="2">
        <f>+SUMIFS(Mapping!H$5:H$106,Mapping!$J$5:$J$106,'Actual data'!$B48)/1000-SUMIFS(Mapping!H$110:H$191,Mapping!$J$110:$J$191,'Actual data'!$B48)/1000</f>
        <v>3821</v>
      </c>
      <c r="I48" s="2">
        <f>+SUMIFS(Mapping!I$5:I$106,Mapping!$J$5:$J$106,'Actual data'!$B48)/1000-SUMIFS(Mapping!I$110:I$191,Mapping!$J$110:$J$191,'Actual data'!$B48)/1000</f>
        <v>3821</v>
      </c>
    </row>
    <row r="49" spans="2:9" x14ac:dyDescent="0.3">
      <c r="B49" s="8" t="s">
        <v>256</v>
      </c>
      <c r="C49" s="2">
        <f>+SUMIFS(Mapping!C$5:C$106,Mapping!$J$5:$J$106,'Actual data'!$B49)/1000-SUMIFS(Mapping!C$110:C$191,Mapping!$J$110:$J$191,'Actual data'!$B49)/1000</f>
        <v>17960</v>
      </c>
      <c r="D49" s="2">
        <f>+SUMIFS(Mapping!D$5:D$106,Mapping!$J$5:$J$106,'Actual data'!$B49)/1000-SUMIFS(Mapping!D$110:D$191,Mapping!$J$110:$J$191,'Actual data'!$B49)/1000</f>
        <v>25718</v>
      </c>
      <c r="E49" s="2">
        <f>+SUMIFS(Mapping!E$5:E$106,Mapping!$J$5:$J$106,'Actual data'!$B49)/1000-SUMIFS(Mapping!E$110:E$191,Mapping!$J$110:$J$191,'Actual data'!$B49)/1000</f>
        <v>27100</v>
      </c>
      <c r="F49" s="2">
        <f>+SUMIFS(Mapping!F$5:F$106,Mapping!$J$5:$J$106,'Actual data'!$B49)/1000-SUMIFS(Mapping!F$110:F$191,Mapping!$J$110:$J$191,'Actual data'!$B49)/1000</f>
        <v>31281</v>
      </c>
      <c r="G49" s="2">
        <f>+SUMIFS(Mapping!G$5:G$106,Mapping!$J$5:$J$106,'Actual data'!$B49)/1000-SUMIFS(Mapping!G$110:G$191,Mapping!$J$110:$J$191,'Actual data'!$B49)/1000</f>
        <v>31257</v>
      </c>
      <c r="H49" s="2">
        <f>+SUMIFS(Mapping!H$5:H$106,Mapping!$J$5:$J$106,'Actual data'!$B49)/1000-SUMIFS(Mapping!H$110:H$191,Mapping!$J$110:$J$191,'Actual data'!$B49)/1000</f>
        <v>31453</v>
      </c>
      <c r="I49" s="2">
        <f>+SUMIFS(Mapping!I$5:I$106,Mapping!$J$5:$J$106,'Actual data'!$B49)/1000-SUMIFS(Mapping!I$110:I$191,Mapping!$J$110:$J$191,'Actual data'!$B49)/1000</f>
        <v>35954</v>
      </c>
    </row>
    <row r="50" spans="2:9" x14ac:dyDescent="0.3">
      <c r="B50" s="32" t="s">
        <v>432</v>
      </c>
      <c r="C50" s="33">
        <f>+SUM(C47:C49)</f>
        <v>21819</v>
      </c>
      <c r="D50" s="33">
        <f t="shared" ref="D50:I50" si="16">+SUM(D47:D49)</f>
        <v>29549</v>
      </c>
      <c r="E50" s="33">
        <f t="shared" si="16"/>
        <v>30938</v>
      </c>
      <c r="F50" s="33">
        <f t="shared" si="16"/>
        <v>35127</v>
      </c>
      <c r="G50" s="33">
        <f t="shared" si="16"/>
        <v>35095</v>
      </c>
      <c r="H50" s="33">
        <f t="shared" si="16"/>
        <v>35287</v>
      </c>
      <c r="I50" s="33">
        <f t="shared" si="16"/>
        <v>39778</v>
      </c>
    </row>
    <row r="51" spans="2:9" ht="3.75" customHeight="1" x14ac:dyDescent="0.3"/>
    <row r="52" spans="2:9" x14ac:dyDescent="0.3">
      <c r="B52" s="8" t="s">
        <v>440</v>
      </c>
      <c r="C52" s="2">
        <f>+SUMIFS(Mapping!C$5:C$106,Mapping!$J$5:$J$106,'Actual data'!$B52)/1000-SUMIFS(Mapping!C$110:C$191,Mapping!$J$110:$J$191,'Actual data'!$B52)/1000</f>
        <v>297</v>
      </c>
      <c r="D52" s="2">
        <f>+SUMIFS(Mapping!D$5:D$106,Mapping!$J$5:$J$106,'Actual data'!$B52)/1000-SUMIFS(Mapping!D$110:D$191,Mapping!$J$110:$J$191,'Actual data'!$B52)/1000</f>
        <v>287</v>
      </c>
      <c r="E52" s="2">
        <f>+SUMIFS(Mapping!E$5:E$106,Mapping!$J$5:$J$106,'Actual data'!$B52)/1000-SUMIFS(Mapping!E$110:E$191,Mapping!$J$110:$J$191,'Actual data'!$B52)/1000</f>
        <v>215</v>
      </c>
      <c r="F52" s="2">
        <f>+SUMIFS(Mapping!F$5:F$106,Mapping!$J$5:$J$106,'Actual data'!$B52)/1000-SUMIFS(Mapping!F$110:F$191,Mapping!$J$110:$J$191,'Actual data'!$B52)/1000</f>
        <v>128</v>
      </c>
      <c r="G52" s="2">
        <f>+SUMIFS(Mapping!G$5:G$106,Mapping!$J$5:$J$106,'Actual data'!$B52)/1000-SUMIFS(Mapping!G$110:G$191,Mapping!$J$110:$J$191,'Actual data'!$B52)/1000</f>
        <v>142</v>
      </c>
      <c r="H52" s="2">
        <f>+SUMIFS(Mapping!H$5:H$106,Mapping!$J$5:$J$106,'Actual data'!$B52)/1000-SUMIFS(Mapping!H$110:H$191,Mapping!$J$110:$J$191,'Actual data'!$B52)/1000</f>
        <v>103</v>
      </c>
      <c r="I52" s="2">
        <f>+SUMIFS(Mapping!I$5:I$106,Mapping!$J$5:$J$106,'Actual data'!$B52)/1000-SUMIFS(Mapping!I$110:I$191,Mapping!$J$110:$J$191,'Actual data'!$B52)/1000</f>
        <v>140</v>
      </c>
    </row>
    <row r="53" spans="2:9" x14ac:dyDescent="0.3">
      <c r="B53" s="8" t="s">
        <v>441</v>
      </c>
      <c r="C53" s="2">
        <f>+SUMIFS(Mapping!C$5:C$106,Mapping!$J$5:$J$106,'Actual data'!$B53)/1000-SUMIFS(Mapping!C$110:C$191,Mapping!$J$110:$J$191,'Actual data'!$B53)/1000</f>
        <v>21377</v>
      </c>
      <c r="D53" s="2">
        <f>+SUMIFS(Mapping!D$5:D$106,Mapping!$J$5:$J$106,'Actual data'!$B53)/1000-SUMIFS(Mapping!D$110:D$191,Mapping!$J$110:$J$191,'Actual data'!$B53)/1000</f>
        <v>12897</v>
      </c>
      <c r="E53" s="2">
        <f>+SUMIFS(Mapping!E$5:E$106,Mapping!$J$5:$J$106,'Actual data'!$B53)/1000-SUMIFS(Mapping!E$110:E$191,Mapping!$J$110:$J$191,'Actual data'!$B53)/1000</f>
        <v>12153</v>
      </c>
      <c r="F53" s="2">
        <f>+SUMIFS(Mapping!F$5:F$106,Mapping!$J$5:$J$106,'Actual data'!$B53)/1000-SUMIFS(Mapping!F$110:F$191,Mapping!$J$110:$J$191,'Actual data'!$B53)/1000</f>
        <v>12870</v>
      </c>
      <c r="G53" s="2">
        <f>+SUMIFS(Mapping!G$5:G$106,Mapping!$J$5:$J$106,'Actual data'!$B53)/1000-SUMIFS(Mapping!G$110:G$191,Mapping!$J$110:$J$191,'Actual data'!$B53)/1000</f>
        <v>14732</v>
      </c>
      <c r="H53" s="2">
        <f>+SUMIFS(Mapping!H$5:H$106,Mapping!$J$5:$J$106,'Actual data'!$B53)/1000-SUMIFS(Mapping!H$110:H$191,Mapping!$J$110:$J$191,'Actual data'!$B53)/1000</f>
        <v>13653</v>
      </c>
      <c r="I53" s="2">
        <f>+SUMIFS(Mapping!I$5:I$106,Mapping!$J$5:$J$106,'Actual data'!$B53)/1000-SUMIFS(Mapping!I$110:I$191,Mapping!$J$110:$J$191,'Actual data'!$B53)/1000</f>
        <v>17104</v>
      </c>
    </row>
    <row r="54" spans="2:9" x14ac:dyDescent="0.3">
      <c r="B54" s="8" t="s">
        <v>442</v>
      </c>
      <c r="C54" s="2">
        <f>+SUMIFS(Mapping!C$5:C$106,Mapping!$J$5:$J$106,'Actual data'!$B54)/1000-SUMIFS(Mapping!C$110:C$191,Mapping!$J$110:$J$191,'Actual data'!$B54)/1000</f>
        <v>-7533</v>
      </c>
      <c r="D54" s="2">
        <f>+SUMIFS(Mapping!D$5:D$106,Mapping!$J$5:$J$106,'Actual data'!$B54)/1000-SUMIFS(Mapping!D$110:D$191,Mapping!$J$110:$J$191,'Actual data'!$B54)/1000</f>
        <v>-6085</v>
      </c>
      <c r="E54" s="2">
        <f>+SUMIFS(Mapping!E$5:E$106,Mapping!$J$5:$J$106,'Actual data'!$B54)/1000-SUMIFS(Mapping!E$110:E$191,Mapping!$J$110:$J$191,'Actual data'!$B54)/1000</f>
        <v>-5865</v>
      </c>
      <c r="F54" s="2">
        <f>+SUMIFS(Mapping!F$5:F$106,Mapping!$J$5:$J$106,'Actual data'!$B54)/1000-SUMIFS(Mapping!F$110:F$191,Mapping!$J$110:$J$191,'Actual data'!$B54)/1000</f>
        <v>-6388</v>
      </c>
      <c r="G54" s="2">
        <f>+SUMIFS(Mapping!G$5:G$106,Mapping!$J$5:$J$106,'Actual data'!$B54)/1000-SUMIFS(Mapping!G$110:G$191,Mapping!$J$110:$J$191,'Actual data'!$B54)/1000</f>
        <v>-6003</v>
      </c>
      <c r="H54" s="2">
        <f>+SUMIFS(Mapping!H$5:H$106,Mapping!$J$5:$J$106,'Actual data'!$B54)/1000-SUMIFS(Mapping!H$110:H$191,Mapping!$J$110:$J$191,'Actual data'!$B54)/1000</f>
        <v>-7598</v>
      </c>
      <c r="I54" s="2">
        <f>+SUMIFS(Mapping!I$5:I$106,Mapping!$J$5:$J$106,'Actual data'!$B54)/1000-SUMIFS(Mapping!I$110:I$191,Mapping!$J$110:$J$191,'Actual data'!$B54)/1000</f>
        <v>-6246</v>
      </c>
    </row>
    <row r="55" spans="2:9" x14ac:dyDescent="0.3">
      <c r="B55" s="8" t="s">
        <v>257</v>
      </c>
      <c r="C55" s="2">
        <f>+SUMIFS(Mapping!C$5:C$106,Mapping!$J$5:$J$106,'Actual data'!$B55)/1000-SUMIFS(Mapping!C$110:C$191,Mapping!$J$110:$J$191,'Actual data'!$B55)/1000</f>
        <v>-1820</v>
      </c>
      <c r="D55" s="2">
        <f>+SUMIFS(Mapping!D$5:D$106,Mapping!$J$5:$J$106,'Actual data'!$B55)/1000-SUMIFS(Mapping!D$110:D$191,Mapping!$J$110:$J$191,'Actual data'!$B55)/1000</f>
        <v>5585</v>
      </c>
      <c r="E55" s="2">
        <f>+SUMIFS(Mapping!E$5:E$106,Mapping!$J$5:$J$106,'Actual data'!$B55)/1000-SUMIFS(Mapping!E$110:E$191,Mapping!$J$110:$J$191,'Actual data'!$B55)/1000</f>
        <v>7024</v>
      </c>
      <c r="F55" s="2">
        <f>+SUMIFS(Mapping!F$5:F$106,Mapping!$J$5:$J$106,'Actual data'!$B55)/1000-SUMIFS(Mapping!F$110:F$191,Mapping!$J$110:$J$191,'Actual data'!$B55)/1000</f>
        <v>1961</v>
      </c>
      <c r="G55" s="2">
        <f>+SUMIFS(Mapping!G$5:G$106,Mapping!$J$5:$J$106,'Actual data'!$B55)/1000-SUMIFS(Mapping!G$110:G$191,Mapping!$J$110:$J$191,'Actual data'!$B55)/1000</f>
        <v>1658</v>
      </c>
      <c r="H55" s="2">
        <f>+SUMIFS(Mapping!H$5:H$106,Mapping!$J$5:$J$106,'Actual data'!$B55)/1000-SUMIFS(Mapping!H$110:H$191,Mapping!$J$110:$J$191,'Actual data'!$B55)/1000</f>
        <v>1223</v>
      </c>
      <c r="I55" s="2">
        <f>+SUMIFS(Mapping!I$5:I$106,Mapping!$J$5:$J$106,'Actual data'!$B55)/1000-SUMIFS(Mapping!I$110:I$191,Mapping!$J$110:$J$191,'Actual data'!$B55)/1000</f>
        <v>4159</v>
      </c>
    </row>
    <row r="56" spans="2:9" x14ac:dyDescent="0.3">
      <c r="B56" s="8" t="s">
        <v>443</v>
      </c>
      <c r="C56" s="2">
        <f>+SUMIFS(Mapping!C$5:C$106,Mapping!$J$5:$J$106,'Actual data'!$B56)/1000-SUMIFS(Mapping!C$110:C$191,Mapping!$J$110:$J$191,'Actual data'!$B56)/1000</f>
        <v>-883</v>
      </c>
      <c r="D56" s="2">
        <f>+SUMIFS(Mapping!D$5:D$106,Mapping!$J$5:$J$106,'Actual data'!$B56)/1000-SUMIFS(Mapping!D$110:D$191,Mapping!$J$110:$J$191,'Actual data'!$B56)/1000</f>
        <v>809</v>
      </c>
      <c r="E56" s="2">
        <f>+SUMIFS(Mapping!E$5:E$106,Mapping!$J$5:$J$106,'Actual data'!$B56)/1000-SUMIFS(Mapping!E$110:E$191,Mapping!$J$110:$J$191,'Actual data'!$B56)/1000</f>
        <v>-2129</v>
      </c>
      <c r="F56" s="2">
        <f>+SUMIFS(Mapping!F$5:F$106,Mapping!$J$5:$J$106,'Actual data'!$B56)/1000-SUMIFS(Mapping!F$110:F$191,Mapping!$J$110:$J$191,'Actual data'!$B56)/1000</f>
        <v>-2371</v>
      </c>
      <c r="G56" s="2">
        <f>+SUMIFS(Mapping!G$5:G$106,Mapping!$J$5:$J$106,'Actual data'!$B56)/1000-SUMIFS(Mapping!G$110:G$191,Mapping!$J$110:$J$191,'Actual data'!$B56)/1000</f>
        <v>-4538</v>
      </c>
      <c r="H56" s="2">
        <f>+SUMIFS(Mapping!H$5:H$106,Mapping!$J$5:$J$106,'Actual data'!$B56)/1000-SUMIFS(Mapping!H$110:H$191,Mapping!$J$110:$J$191,'Actual data'!$B56)/1000</f>
        <v>-3387</v>
      </c>
      <c r="I56" s="2">
        <f>+SUMIFS(Mapping!I$5:I$106,Mapping!$J$5:$J$106,'Actual data'!$B56)/1000-SUMIFS(Mapping!I$110:I$191,Mapping!$J$110:$J$191,'Actual data'!$B56)/1000</f>
        <v>-4004</v>
      </c>
    </row>
    <row r="57" spans="2:9" x14ac:dyDescent="0.3">
      <c r="B57" s="32" t="s">
        <v>433</v>
      </c>
      <c r="C57" s="33">
        <f>+SUM(C52:C56)</f>
        <v>11438</v>
      </c>
      <c r="D57" s="33">
        <f t="shared" ref="D57:I57" si="17">+SUM(D52:D56)</f>
        <v>13493</v>
      </c>
      <c r="E57" s="33">
        <f t="shared" si="17"/>
        <v>11398</v>
      </c>
      <c r="F57" s="33">
        <f t="shared" si="17"/>
        <v>6200</v>
      </c>
      <c r="G57" s="33">
        <f t="shared" si="17"/>
        <v>5991</v>
      </c>
      <c r="H57" s="33">
        <f t="shared" si="17"/>
        <v>3994</v>
      </c>
      <c r="I57" s="33">
        <f t="shared" si="17"/>
        <v>11153</v>
      </c>
    </row>
    <row r="58" spans="2:9" ht="3.75" customHeight="1" x14ac:dyDescent="0.3"/>
    <row r="59" spans="2:9" x14ac:dyDescent="0.3">
      <c r="B59" s="32" t="s">
        <v>434</v>
      </c>
      <c r="C59" s="33">
        <f>+SUMIFS(Mapping!C$5:C$106,Mapping!$J$5:$J$106,'Actual data'!$B59)/1000-SUMIFS(Mapping!C$110:C$191,Mapping!$J$110:$J$191,'Actual data'!$B59)/1000</f>
        <v>6</v>
      </c>
      <c r="D59" s="33">
        <f>+SUMIFS(Mapping!D$5:D$106,Mapping!$J$5:$J$106,'Actual data'!$B59)/1000-SUMIFS(Mapping!D$110:D$191,Mapping!$J$110:$J$191,'Actual data'!$B59)/1000</f>
        <v>5</v>
      </c>
      <c r="E59" s="33">
        <f>+SUMIFS(Mapping!E$5:E$106,Mapping!$J$5:$J$106,'Actual data'!$B59)/1000-SUMIFS(Mapping!E$110:E$191,Mapping!$J$110:$J$191,'Actual data'!$B59)/1000</f>
        <v>5</v>
      </c>
      <c r="F59" s="33">
        <f>+SUMIFS(Mapping!F$5:F$106,Mapping!$J$5:$J$106,'Actual data'!$B59)/1000-SUMIFS(Mapping!F$110:F$191,Mapping!$J$110:$J$191,'Actual data'!$B59)/1000</f>
        <v>11</v>
      </c>
      <c r="G59" s="33">
        <f>+SUMIFS(Mapping!G$5:G$106,Mapping!$J$5:$J$106,'Actual data'!$B59)/1000-SUMIFS(Mapping!G$110:G$191,Mapping!$J$110:$J$191,'Actual data'!$B59)/1000</f>
        <v>11</v>
      </c>
      <c r="H59" s="33">
        <f>+SUMIFS(Mapping!H$5:H$106,Mapping!$J$5:$J$106,'Actual data'!$B59)/1000-SUMIFS(Mapping!H$110:H$191,Mapping!$J$110:$J$191,'Actual data'!$B59)/1000</f>
        <v>11</v>
      </c>
      <c r="I59" s="33">
        <f>+SUMIFS(Mapping!I$5:I$106,Mapping!$J$5:$J$106,'Actual data'!$B59)/1000-SUMIFS(Mapping!I$110:I$191,Mapping!$J$110:$J$191,'Actual data'!$B59)/1000</f>
        <v>11</v>
      </c>
    </row>
    <row r="60" spans="2:9" ht="3.75" customHeight="1" x14ac:dyDescent="0.3"/>
    <row r="61" spans="2:9" x14ac:dyDescent="0.3">
      <c r="B61" s="32" t="s">
        <v>416</v>
      </c>
      <c r="C61" s="33">
        <f>+SUMIFS(Mapping!C$5:C$106,Mapping!$J$5:$J$106,'Actual data'!$B61)/1000-SUMIFS(Mapping!C$110:C$191,Mapping!$J$110:$J$191,'Actual data'!$B61)/1000</f>
        <v>-1511</v>
      </c>
      <c r="D61" s="33">
        <f>+SUMIFS(Mapping!D$5:D$106,Mapping!$J$5:$J$106,'Actual data'!$B61)/1000-SUMIFS(Mapping!D$110:D$191,Mapping!$J$110:$J$191,'Actual data'!$B61)/1000</f>
        <v>-1964</v>
      </c>
      <c r="E61" s="33">
        <f>+SUMIFS(Mapping!E$5:E$106,Mapping!$J$5:$J$106,'Actual data'!$B61)/1000-SUMIFS(Mapping!E$110:E$191,Mapping!$J$110:$J$191,'Actual data'!$B61)/1000</f>
        <v>-17</v>
      </c>
      <c r="F61" s="33">
        <f>+SUMIFS(Mapping!F$5:F$106,Mapping!$J$5:$J$106,'Actual data'!$B61)/1000-SUMIFS(Mapping!F$110:F$191,Mapping!$J$110:$J$191,'Actual data'!$B61)/1000</f>
        <v>-21</v>
      </c>
      <c r="G61" s="33">
        <f>+SUMIFS(Mapping!G$5:G$106,Mapping!$J$5:$J$106,'Actual data'!$B61)/1000-SUMIFS(Mapping!G$110:G$191,Mapping!$J$110:$J$191,'Actual data'!$B61)/1000</f>
        <v>-18</v>
      </c>
      <c r="H61" s="33">
        <f>+SUMIFS(Mapping!H$5:H$106,Mapping!$J$5:$J$106,'Actual data'!$B61)/1000-SUMIFS(Mapping!H$110:H$191,Mapping!$J$110:$J$191,'Actual data'!$B61)/1000</f>
        <v>-18</v>
      </c>
      <c r="I61" s="33">
        <f>+SUMIFS(Mapping!I$5:I$106,Mapping!$J$5:$J$106,'Actual data'!$B61)/1000-SUMIFS(Mapping!I$110:I$191,Mapping!$J$110:$J$191,'Actual data'!$B61)/1000</f>
        <v>-17</v>
      </c>
    </row>
    <row r="62" spans="2:9" ht="3.75" customHeight="1" x14ac:dyDescent="0.3"/>
    <row r="63" spans="2:9" s="3" customFormat="1" ht="12.5" thickBot="1" x14ac:dyDescent="0.35">
      <c r="B63" s="30" t="s">
        <v>427</v>
      </c>
      <c r="C63" s="31">
        <f>+C50+C57+C59+C61</f>
        <v>31752</v>
      </c>
      <c r="D63" s="31">
        <f t="shared" ref="D63:I63" si="18">+D50+D57+D59+D61</f>
        <v>41083</v>
      </c>
      <c r="E63" s="31">
        <f t="shared" si="18"/>
        <v>42324</v>
      </c>
      <c r="F63" s="31">
        <f t="shared" si="18"/>
        <v>41317</v>
      </c>
      <c r="G63" s="31">
        <f t="shared" si="18"/>
        <v>41079</v>
      </c>
      <c r="H63" s="31">
        <f t="shared" si="18"/>
        <v>39274</v>
      </c>
      <c r="I63" s="31">
        <f t="shared" si="18"/>
        <v>50925</v>
      </c>
    </row>
    <row r="65" spans="2:9" x14ac:dyDescent="0.3">
      <c r="B65" s="32" t="s">
        <v>444</v>
      </c>
      <c r="C65" s="33">
        <f>-SUMIFS(Mapping!C$5:C$106,Mapping!$J$5:$J$106,'Actual data'!$B65)/1000+SUMIFS(Mapping!C$110:C$191,Mapping!$J$110:$J$191,'Actual data'!$B65)/1000</f>
        <v>17007</v>
      </c>
      <c r="D65" s="33">
        <f>-SUMIFS(Mapping!D$5:D$106,Mapping!$J$5:$J$106,'Actual data'!$B65)/1000+SUMIFS(Mapping!D$110:D$191,Mapping!$J$110:$J$191,'Actual data'!$B65)/1000</f>
        <v>19695</v>
      </c>
      <c r="E65" s="33">
        <f>-SUMIFS(Mapping!E$5:E$106,Mapping!$J$5:$J$106,'Actual data'!$B65)/1000+SUMIFS(Mapping!E$110:E$191,Mapping!$J$110:$J$191,'Actual data'!$B65)/1000</f>
        <v>22872</v>
      </c>
      <c r="F65" s="33">
        <f>-SUMIFS(Mapping!F$5:F$106,Mapping!$J$5:$J$106,'Actual data'!$B65)/1000+SUMIFS(Mapping!F$110:F$191,Mapping!$J$110:$J$191,'Actual data'!$B65)/1000</f>
        <v>24689</v>
      </c>
      <c r="G65" s="33">
        <f>-SUMIFS(Mapping!G$5:G$106,Mapping!$J$5:$J$106,'Actual data'!$B65)/1000+SUMIFS(Mapping!G$110:G$191,Mapping!$J$110:$J$191,'Actual data'!$B65)/1000</f>
        <v>28757</v>
      </c>
      <c r="H65" s="33">
        <f>-SUMIFS(Mapping!H$5:H$106,Mapping!$J$5:$J$106,'Actual data'!$B65)/1000+SUMIFS(Mapping!H$110:H$191,Mapping!$J$110:$J$191,'Actual data'!$B65)/1000</f>
        <v>32528</v>
      </c>
      <c r="I65" s="33">
        <f>-SUMIFS(Mapping!I$5:I$106,Mapping!$J$5:$J$106,'Actual data'!$B65)/1000+SUMIFS(Mapping!I$110:I$191,Mapping!$J$110:$J$191,'Actual data'!$B65)/1000</f>
        <v>36461</v>
      </c>
    </row>
    <row r="66" spans="2:9" ht="3.75" customHeight="1" x14ac:dyDescent="0.3"/>
    <row r="67" spans="2:9" x14ac:dyDescent="0.3">
      <c r="B67" s="8" t="s">
        <v>417</v>
      </c>
      <c r="C67" s="2">
        <f>-SUMIFS(Mapping!C$5:C$106,Mapping!$J$5:$J$106,'Actual data'!$B67)/1000+SUMIFS(Mapping!C$110:C$191,Mapping!$J$110:$J$191,'Actual data'!$B67)/1000</f>
        <v>18726</v>
      </c>
      <c r="D67" s="2">
        <f>-SUMIFS(Mapping!D$5:D$106,Mapping!$J$5:$J$106,'Actual data'!$B67)/1000+SUMIFS(Mapping!D$110:D$191,Mapping!$J$110:$J$191,'Actual data'!$B67)/1000</f>
        <v>23423</v>
      </c>
      <c r="E67" s="2">
        <f>-SUMIFS(Mapping!E$5:E$106,Mapping!$J$5:$J$106,'Actual data'!$B67)/1000+SUMIFS(Mapping!E$110:E$191,Mapping!$J$110:$J$191,'Actual data'!$B67)/1000</f>
        <v>21234</v>
      </c>
      <c r="F67" s="2">
        <f>-SUMIFS(Mapping!F$5:F$106,Mapping!$J$5:$J$106,'Actual data'!$B67)/1000+SUMIFS(Mapping!F$110:F$191,Mapping!$J$110:$J$191,'Actual data'!$B67)/1000</f>
        <v>26072</v>
      </c>
      <c r="G67" s="2">
        <f>-SUMIFS(Mapping!G$5:G$106,Mapping!$J$5:$J$106,'Actual data'!$B67)/1000+SUMIFS(Mapping!G$110:G$191,Mapping!$J$110:$J$191,'Actual data'!$B67)/1000</f>
        <v>23579</v>
      </c>
      <c r="H67" s="2">
        <f>-SUMIFS(Mapping!H$5:H$106,Mapping!$J$5:$J$106,'Actual data'!$B67)/1000+SUMIFS(Mapping!H$110:H$191,Mapping!$J$110:$J$191,'Actual data'!$B67)/1000</f>
        <v>18189</v>
      </c>
      <c r="I67" s="2">
        <f>-SUMIFS(Mapping!I$5:I$106,Mapping!$J$5:$J$106,'Actual data'!$B67)/1000+SUMIFS(Mapping!I$110:I$191,Mapping!$J$110:$J$191,'Actual data'!$B67)/1000</f>
        <v>14006</v>
      </c>
    </row>
    <row r="68" spans="2:9" x14ac:dyDescent="0.3">
      <c r="B68" s="8" t="s">
        <v>418</v>
      </c>
      <c r="C68" s="2">
        <f>-SUMIFS(Mapping!C$5:C$106,Mapping!$J$5:$J$106,'Actual data'!$B68)/1000+SUMIFS(Mapping!C$110:C$191,Mapping!$J$110:$J$191,'Actual data'!$B68)/1000</f>
        <v>8755</v>
      </c>
      <c r="D68" s="2">
        <f>-SUMIFS(Mapping!D$5:D$106,Mapping!$J$5:$J$106,'Actual data'!$B68)/1000+SUMIFS(Mapping!D$110:D$191,Mapping!$J$110:$J$191,'Actual data'!$B68)/1000</f>
        <v>13048</v>
      </c>
      <c r="E68" s="2">
        <f>-SUMIFS(Mapping!E$5:E$106,Mapping!$J$5:$J$106,'Actual data'!$B68)/1000+SUMIFS(Mapping!E$110:E$191,Mapping!$J$110:$J$191,'Actual data'!$B68)/1000</f>
        <v>13083</v>
      </c>
      <c r="F68" s="2">
        <f>-SUMIFS(Mapping!F$5:F$106,Mapping!$J$5:$J$106,'Actual data'!$B68)/1000+SUMIFS(Mapping!F$110:F$191,Mapping!$J$110:$J$191,'Actual data'!$B68)/1000</f>
        <v>11711</v>
      </c>
      <c r="G68" s="2">
        <f>-SUMIFS(Mapping!G$5:G$106,Mapping!$J$5:$J$106,'Actual data'!$B68)/1000+SUMIFS(Mapping!G$110:G$191,Mapping!$J$110:$J$191,'Actual data'!$B68)/1000</f>
        <v>30205</v>
      </c>
      <c r="H68" s="2">
        <f>-SUMIFS(Mapping!H$5:H$106,Mapping!$J$5:$J$106,'Actual data'!$B68)/1000+SUMIFS(Mapping!H$110:H$191,Mapping!$J$110:$J$191,'Actual data'!$B68)/1000</f>
        <v>50215</v>
      </c>
      <c r="I68" s="2">
        <f>-SUMIFS(Mapping!I$5:I$106,Mapping!$J$5:$J$106,'Actual data'!$B68)/1000+SUMIFS(Mapping!I$110:I$191,Mapping!$J$110:$J$191,'Actual data'!$B68)/1000</f>
        <v>68813</v>
      </c>
    </row>
    <row r="69" spans="2:9" x14ac:dyDescent="0.3">
      <c r="B69" s="8" t="s">
        <v>259</v>
      </c>
      <c r="C69" s="2">
        <f>-SUMIFS(Mapping!C$5:C$106,Mapping!$J$5:$J$106,'Actual data'!$B69)/1000+SUMIFS(Mapping!C$110:C$191,Mapping!$J$110:$J$191,'Actual data'!$B69)/1000</f>
        <v>905</v>
      </c>
      <c r="D69" s="2">
        <f>-SUMIFS(Mapping!D$5:D$106,Mapping!$J$5:$J$106,'Actual data'!$B69)/1000+SUMIFS(Mapping!D$110:D$191,Mapping!$J$110:$J$191,'Actual data'!$B69)/1000</f>
        <v>1064</v>
      </c>
      <c r="E69" s="2">
        <f>-SUMIFS(Mapping!E$5:E$106,Mapping!$J$5:$J$106,'Actual data'!$B69)/1000+SUMIFS(Mapping!E$110:E$191,Mapping!$J$110:$J$191,'Actual data'!$B69)/1000</f>
        <v>1042</v>
      </c>
      <c r="F69" s="2">
        <f>-SUMIFS(Mapping!F$5:F$106,Mapping!$J$5:$J$106,'Actual data'!$B69)/1000+SUMIFS(Mapping!F$110:F$191,Mapping!$J$110:$J$191,'Actual data'!$B69)/1000</f>
        <v>1079</v>
      </c>
      <c r="G69" s="2">
        <f>-SUMIFS(Mapping!G$5:G$106,Mapping!$J$5:$J$106,'Actual data'!$B69)/1000+SUMIFS(Mapping!G$110:G$191,Mapping!$J$110:$J$191,'Actual data'!$B69)/1000</f>
        <v>1152</v>
      </c>
      <c r="H69" s="2">
        <f>-SUMIFS(Mapping!H$5:H$106,Mapping!$J$5:$J$106,'Actual data'!$B69)/1000+SUMIFS(Mapping!H$110:H$191,Mapping!$J$110:$J$191,'Actual data'!$B69)/1000</f>
        <v>1082</v>
      </c>
      <c r="I69" s="2">
        <f>-SUMIFS(Mapping!I$5:I$106,Mapping!$J$5:$J$106,'Actual data'!$B69)/1000+SUMIFS(Mapping!I$110:I$191,Mapping!$J$110:$J$191,'Actual data'!$B69)/1000</f>
        <v>1310</v>
      </c>
    </row>
    <row r="70" spans="2:9" x14ac:dyDescent="0.3">
      <c r="B70" s="8" t="s">
        <v>419</v>
      </c>
      <c r="C70" s="2">
        <f>-SUMIFS(Mapping!C$5:C$106,Mapping!$J$5:$J$106,'Actual data'!$B70)/1000+SUMIFS(Mapping!C$110:C$191,Mapping!$J$110:$J$191,'Actual data'!$B70)/1000</f>
        <v>-3</v>
      </c>
      <c r="D70" s="2">
        <f>-SUMIFS(Mapping!D$5:D$106,Mapping!$J$5:$J$106,'Actual data'!$B70)/1000+SUMIFS(Mapping!D$110:D$191,Mapping!$J$110:$J$191,'Actual data'!$B70)/1000</f>
        <v>-2</v>
      </c>
      <c r="E70" s="2">
        <f>-SUMIFS(Mapping!E$5:E$106,Mapping!$J$5:$J$106,'Actual data'!$B70)/1000+SUMIFS(Mapping!E$110:E$191,Mapping!$J$110:$J$191,'Actual data'!$B70)/1000</f>
        <v>-1</v>
      </c>
      <c r="F70" s="2">
        <f>-SUMIFS(Mapping!F$5:F$106,Mapping!$J$5:$J$106,'Actual data'!$B70)/1000+SUMIFS(Mapping!F$110:F$191,Mapping!$J$110:$J$191,'Actual data'!$B70)/1000</f>
        <v>-2894</v>
      </c>
      <c r="G70" s="2">
        <f>-SUMIFS(Mapping!G$5:G$106,Mapping!$J$5:$J$106,'Actual data'!$B70)/1000+SUMIFS(Mapping!G$110:G$191,Mapping!$J$110:$J$191,'Actual data'!$B70)/1000</f>
        <v>-2044</v>
      </c>
      <c r="H70" s="2">
        <f>-SUMIFS(Mapping!H$5:H$106,Mapping!$J$5:$J$106,'Actual data'!$B70)/1000+SUMIFS(Mapping!H$110:H$191,Mapping!$J$110:$J$191,'Actual data'!$B70)/1000</f>
        <v>-19331</v>
      </c>
      <c r="I70" s="2">
        <f>-SUMIFS(Mapping!I$5:I$106,Mapping!$J$5:$J$106,'Actual data'!$B70)/1000+SUMIFS(Mapping!I$110:I$191,Mapping!$J$110:$J$191,'Actual data'!$B70)/1000</f>
        <v>-23165</v>
      </c>
    </row>
    <row r="71" spans="2:9" x14ac:dyDescent="0.3">
      <c r="B71" s="8" t="s">
        <v>420</v>
      </c>
      <c r="C71" s="2">
        <f>-SUMIFS(Mapping!C$5:C$106,Mapping!$J$5:$J$106,'Actual data'!$B71)/1000+SUMIFS(Mapping!C$110:C$191,Mapping!$J$110:$J$191,'Actual data'!$B71)/1000</f>
        <v>-4052</v>
      </c>
      <c r="D71" s="2">
        <f>-SUMIFS(Mapping!D$5:D$106,Mapping!$J$5:$J$106,'Actual data'!$B71)/1000+SUMIFS(Mapping!D$110:D$191,Mapping!$J$110:$J$191,'Actual data'!$B71)/1000</f>
        <v>-2890</v>
      </c>
      <c r="E71" s="2">
        <f>-SUMIFS(Mapping!E$5:E$106,Mapping!$J$5:$J$106,'Actual data'!$B71)/1000+SUMIFS(Mapping!E$110:E$191,Mapping!$J$110:$J$191,'Actual data'!$B71)/1000</f>
        <v>-1803</v>
      </c>
      <c r="F71" s="2">
        <f>-SUMIFS(Mapping!F$5:F$106,Mapping!$J$5:$J$106,'Actual data'!$B71)/1000+SUMIFS(Mapping!F$110:F$191,Mapping!$J$110:$J$191,'Actual data'!$B71)/1000</f>
        <v>0</v>
      </c>
      <c r="G71" s="2">
        <f>-SUMIFS(Mapping!G$5:G$106,Mapping!$J$5:$J$106,'Actual data'!$B71)/1000+SUMIFS(Mapping!G$110:G$191,Mapping!$J$110:$J$191,'Actual data'!$B71)/1000</f>
        <v>-136</v>
      </c>
      <c r="H71" s="2">
        <f>-SUMIFS(Mapping!H$5:H$106,Mapping!$J$5:$J$106,'Actual data'!$B71)/1000+SUMIFS(Mapping!H$110:H$191,Mapping!$J$110:$J$191,'Actual data'!$B71)/1000</f>
        <v>-281</v>
      </c>
      <c r="I71" s="2">
        <f>-SUMIFS(Mapping!I$5:I$106,Mapping!$J$5:$J$106,'Actual data'!$B71)/1000+SUMIFS(Mapping!I$110:I$191,Mapping!$J$110:$J$191,'Actual data'!$B71)/1000</f>
        <v>0</v>
      </c>
    </row>
    <row r="72" spans="2:9" x14ac:dyDescent="0.3">
      <c r="B72" s="8" t="s">
        <v>258</v>
      </c>
      <c r="C72" s="2">
        <f>-SUMIFS(Mapping!C$5:C$106,Mapping!$J$5:$J$106,'Actual data'!$B72)/1000+SUMIFS(Mapping!C$110:C$191,Mapping!$J$110:$J$191,'Actual data'!$B72)/1000</f>
        <v>-111</v>
      </c>
      <c r="D72" s="2">
        <f>-SUMIFS(Mapping!D$5:D$106,Mapping!$J$5:$J$106,'Actual data'!$B72)/1000+SUMIFS(Mapping!D$110:D$191,Mapping!$J$110:$J$191,'Actual data'!$B72)/1000</f>
        <v>-510</v>
      </c>
      <c r="E72" s="2">
        <f>-SUMIFS(Mapping!E$5:E$106,Mapping!$J$5:$J$106,'Actual data'!$B72)/1000+SUMIFS(Mapping!E$110:E$191,Mapping!$J$110:$J$191,'Actual data'!$B72)/1000</f>
        <v>-283</v>
      </c>
      <c r="F72" s="2">
        <f>-SUMIFS(Mapping!F$5:F$106,Mapping!$J$5:$J$106,'Actual data'!$B72)/1000+SUMIFS(Mapping!F$110:F$191,Mapping!$J$110:$J$191,'Actual data'!$B72)/1000</f>
        <v>-2988</v>
      </c>
      <c r="G72" s="2">
        <f>-SUMIFS(Mapping!G$5:G$106,Mapping!$J$5:$J$106,'Actual data'!$B72)/1000+SUMIFS(Mapping!G$110:G$191,Mapping!$J$110:$J$191,'Actual data'!$B72)/1000</f>
        <v>-337</v>
      </c>
      <c r="H72" s="2">
        <f>-SUMIFS(Mapping!H$5:H$106,Mapping!$J$5:$J$106,'Actual data'!$B72)/1000+SUMIFS(Mapping!H$110:H$191,Mapping!$J$110:$J$191,'Actual data'!$B72)/1000</f>
        <v>-205</v>
      </c>
      <c r="I72" s="2">
        <f>-SUMIFS(Mapping!I$5:I$106,Mapping!$J$5:$J$106,'Actual data'!$B72)/1000+SUMIFS(Mapping!I$110:I$191,Mapping!$J$110:$J$191,'Actual data'!$B72)/1000</f>
        <v>-101</v>
      </c>
    </row>
    <row r="73" spans="2:9" x14ac:dyDescent="0.3">
      <c r="B73" s="32" t="s">
        <v>423</v>
      </c>
      <c r="C73" s="33">
        <f>+SUM(C67:C72)</f>
        <v>24220</v>
      </c>
      <c r="D73" s="33">
        <f t="shared" ref="D73:I73" si="19">+SUM(D67:D72)</f>
        <v>34133</v>
      </c>
      <c r="E73" s="33">
        <f t="shared" si="19"/>
        <v>33272</v>
      </c>
      <c r="F73" s="33">
        <f t="shared" si="19"/>
        <v>32980</v>
      </c>
      <c r="G73" s="33">
        <f t="shared" si="19"/>
        <v>52419</v>
      </c>
      <c r="H73" s="33">
        <f t="shared" si="19"/>
        <v>49669</v>
      </c>
      <c r="I73" s="33">
        <f t="shared" si="19"/>
        <v>60863</v>
      </c>
    </row>
    <row r="74" spans="2:9" ht="3.75" customHeight="1" x14ac:dyDescent="0.3"/>
    <row r="75" spans="2:9" x14ac:dyDescent="0.3">
      <c r="B75" s="32" t="s">
        <v>421</v>
      </c>
      <c r="C75" s="33">
        <f>-SUMIFS(Mapping!C$5:C$106,Mapping!$J$5:$J$106,'Actual data'!$B75)/1000+SUMIFS(Mapping!C$110:C$191,Mapping!$J$110:$J$191,'Actual data'!$B75)/1000</f>
        <v>-8626</v>
      </c>
      <c r="D75" s="33">
        <f>-SUMIFS(Mapping!D$5:D$106,Mapping!$J$5:$J$106,'Actual data'!$B75)/1000+SUMIFS(Mapping!D$110:D$191,Mapping!$J$110:$J$191,'Actual data'!$B75)/1000</f>
        <v>-11723</v>
      </c>
      <c r="E75" s="33">
        <f>-SUMIFS(Mapping!E$5:E$106,Mapping!$J$5:$J$106,'Actual data'!$B75)/1000+SUMIFS(Mapping!E$110:E$191,Mapping!$J$110:$J$191,'Actual data'!$B75)/1000</f>
        <v>-12672</v>
      </c>
      <c r="F75" s="33">
        <f>-SUMIFS(Mapping!F$5:F$106,Mapping!$J$5:$J$106,'Actual data'!$B75)/1000+SUMIFS(Mapping!F$110:F$191,Mapping!$J$110:$J$191,'Actual data'!$B75)/1000</f>
        <v>-14920</v>
      </c>
      <c r="G75" s="33">
        <f>-SUMIFS(Mapping!G$5:G$106,Mapping!$J$5:$J$106,'Actual data'!$B75)/1000+SUMIFS(Mapping!G$110:G$191,Mapping!$J$110:$J$191,'Actual data'!$B75)/1000</f>
        <v>-38484</v>
      </c>
      <c r="H75" s="33">
        <f>-SUMIFS(Mapping!H$5:H$106,Mapping!$J$5:$J$106,'Actual data'!$B75)/1000+SUMIFS(Mapping!H$110:H$191,Mapping!$J$110:$J$191,'Actual data'!$B75)/1000</f>
        <v>-41017</v>
      </c>
      <c r="I75" s="33">
        <f>-SUMIFS(Mapping!I$5:I$106,Mapping!$J$5:$J$106,'Actual data'!$B75)/1000+SUMIFS(Mapping!I$110:I$191,Mapping!$J$110:$J$191,'Actual data'!$B75)/1000</f>
        <v>-44567</v>
      </c>
    </row>
    <row r="76" spans="2:9" ht="3.75" customHeight="1" x14ac:dyDescent="0.3"/>
    <row r="77" spans="2:9" x14ac:dyDescent="0.3">
      <c r="B77" s="32" t="s">
        <v>431</v>
      </c>
      <c r="C77" s="33">
        <f>-SUMIFS(Mapping!C$5:C$106,Mapping!$J$5:$J$106,'Actual data'!$B77)/1000+SUMIFS(Mapping!C$110:C$191,Mapping!$J$110:$J$191,'Actual data'!$B77)/1000</f>
        <v>-849</v>
      </c>
      <c r="D77" s="33">
        <f>-SUMIFS(Mapping!D$5:D$106,Mapping!$J$5:$J$106,'Actual data'!$B77)/1000+SUMIFS(Mapping!D$110:D$191,Mapping!$J$110:$J$191,'Actual data'!$B77)/1000</f>
        <v>-1022</v>
      </c>
      <c r="E77" s="33">
        <f>-SUMIFS(Mapping!E$5:E$106,Mapping!$J$5:$J$106,'Actual data'!$B77)/1000+SUMIFS(Mapping!E$110:E$191,Mapping!$J$110:$J$191,'Actual data'!$B77)/1000</f>
        <v>-1148</v>
      </c>
      <c r="F77" s="33">
        <f>-SUMIFS(Mapping!F$5:F$106,Mapping!$J$5:$J$106,'Actual data'!$B77)/1000+SUMIFS(Mapping!F$110:F$191,Mapping!$J$110:$J$191,'Actual data'!$B77)/1000</f>
        <v>-1432</v>
      </c>
      <c r="G77" s="33">
        <f>-SUMIFS(Mapping!G$5:G$106,Mapping!$J$5:$J$106,'Actual data'!$B77)/1000+SUMIFS(Mapping!G$110:G$191,Mapping!$J$110:$J$191,'Actual data'!$B77)/1000</f>
        <v>-1613</v>
      </c>
      <c r="H77" s="33">
        <f>-SUMIFS(Mapping!H$5:H$106,Mapping!$J$5:$J$106,'Actual data'!$B77)/1000+SUMIFS(Mapping!H$110:H$191,Mapping!$J$110:$J$191,'Actual data'!$B77)/1000</f>
        <v>-1906</v>
      </c>
      <c r="I77" s="33">
        <f>-SUMIFS(Mapping!I$5:I$106,Mapping!$J$5:$J$106,'Actual data'!$B77)/1000+SUMIFS(Mapping!I$110:I$191,Mapping!$J$110:$J$191,'Actual data'!$B77)/1000</f>
        <v>-1832</v>
      </c>
    </row>
    <row r="78" spans="2:9" ht="3.75" customHeight="1" x14ac:dyDescent="0.3"/>
    <row r="79" spans="2:9" s="3" customFormat="1" ht="12.5" thickBot="1" x14ac:dyDescent="0.35">
      <c r="B79" s="30" t="s">
        <v>445</v>
      </c>
      <c r="C79" s="31">
        <f>+C65+C73+C75+C77</f>
        <v>31752</v>
      </c>
      <c r="D79" s="31">
        <f t="shared" ref="D79:I79" si="20">+D65+D73+D75+D77</f>
        <v>41083</v>
      </c>
      <c r="E79" s="31">
        <f t="shared" si="20"/>
        <v>42324</v>
      </c>
      <c r="F79" s="31">
        <f t="shared" si="20"/>
        <v>41317</v>
      </c>
      <c r="G79" s="31">
        <f t="shared" si="20"/>
        <v>41079</v>
      </c>
      <c r="H79" s="31">
        <f t="shared" si="20"/>
        <v>39274</v>
      </c>
      <c r="I79" s="31">
        <f t="shared" si="20"/>
        <v>50925</v>
      </c>
    </row>
    <row r="80" spans="2:9" s="36" customFormat="1" ht="9.5" x14ac:dyDescent="0.25">
      <c r="B80" s="35" t="s">
        <v>267</v>
      </c>
      <c r="C80" s="36">
        <f>+C79-C63</f>
        <v>0</v>
      </c>
      <c r="D80" s="36">
        <f t="shared" ref="D80:I80" si="21">+D79-D63</f>
        <v>0</v>
      </c>
      <c r="E80" s="36">
        <f t="shared" si="21"/>
        <v>0</v>
      </c>
      <c r="F80" s="36">
        <f t="shared" si="21"/>
        <v>0</v>
      </c>
      <c r="G80" s="36">
        <f t="shared" si="21"/>
        <v>0</v>
      </c>
      <c r="H80" s="36">
        <f t="shared" si="21"/>
        <v>0</v>
      </c>
      <c r="I80" s="36">
        <f t="shared" si="21"/>
        <v>0</v>
      </c>
    </row>
    <row r="83" spans="2:9" x14ac:dyDescent="0.3">
      <c r="B83" s="4" t="s">
        <v>270</v>
      </c>
    </row>
    <row r="85" spans="2:9" ht="12.5" thickBot="1" x14ac:dyDescent="0.35">
      <c r="B85" s="28" t="s">
        <v>268</v>
      </c>
      <c r="C85" s="29">
        <v>2013</v>
      </c>
      <c r="D85" s="29">
        <f>+C85+1</f>
        <v>2014</v>
      </c>
      <c r="E85" s="29">
        <f t="shared" ref="E85:I85" si="22">+D85+1</f>
        <v>2015</v>
      </c>
      <c r="F85" s="29">
        <f t="shared" si="22"/>
        <v>2016</v>
      </c>
      <c r="G85" s="29">
        <f t="shared" si="22"/>
        <v>2017</v>
      </c>
      <c r="H85" s="29">
        <f t="shared" si="22"/>
        <v>2018</v>
      </c>
      <c r="I85" s="29">
        <f t="shared" si="22"/>
        <v>2019</v>
      </c>
    </row>
    <row r="86" spans="2:9" ht="3.75" customHeight="1" x14ac:dyDescent="0.3"/>
    <row r="87" spans="2:9" x14ac:dyDescent="0.3">
      <c r="B87" s="37" t="s">
        <v>264</v>
      </c>
      <c r="C87" s="38"/>
      <c r="D87" s="38">
        <f t="shared" ref="D87:I87" si="23">+D22</f>
        <v>10871</v>
      </c>
      <c r="E87" s="38">
        <f t="shared" si="23"/>
        <v>11277</v>
      </c>
      <c r="F87" s="38">
        <f t="shared" si="23"/>
        <v>8846</v>
      </c>
      <c r="G87" s="38">
        <f t="shared" si="23"/>
        <v>12224</v>
      </c>
      <c r="H87" s="38">
        <f t="shared" si="23"/>
        <v>11939</v>
      </c>
      <c r="I87" s="38">
        <f t="shared" si="23"/>
        <v>11918</v>
      </c>
    </row>
    <row r="88" spans="2:9" ht="3.75" customHeight="1" x14ac:dyDescent="0.3"/>
    <row r="89" spans="2:9" x14ac:dyDescent="0.3">
      <c r="B89" s="8" t="s">
        <v>412</v>
      </c>
      <c r="D89" s="2">
        <f>+C57-D57</f>
        <v>-2055</v>
      </c>
      <c r="E89" s="2">
        <f t="shared" ref="E89:I89" si="24">+D57-E57</f>
        <v>2095</v>
      </c>
      <c r="F89" s="2">
        <f t="shared" si="24"/>
        <v>5198</v>
      </c>
      <c r="G89" s="2">
        <f t="shared" si="24"/>
        <v>209</v>
      </c>
      <c r="H89" s="2">
        <f t="shared" si="24"/>
        <v>1997</v>
      </c>
      <c r="I89" s="2">
        <f t="shared" si="24"/>
        <v>-7159</v>
      </c>
    </row>
    <row r="90" spans="2:9" x14ac:dyDescent="0.3">
      <c r="B90" s="8" t="s">
        <v>271</v>
      </c>
      <c r="D90" s="2">
        <f>+C50-D50+D25</f>
        <v>-12923</v>
      </c>
      <c r="E90" s="2">
        <f t="shared" ref="E90:I90" si="25">+D50-E50+E25</f>
        <v>-6684</v>
      </c>
      <c r="F90" s="2">
        <f t="shared" si="25"/>
        <v>-9206</v>
      </c>
      <c r="G90" s="2">
        <f t="shared" si="25"/>
        <v>-6500</v>
      </c>
      <c r="H90" s="2">
        <f t="shared" si="25"/>
        <v>-6226</v>
      </c>
      <c r="I90" s="2">
        <f t="shared" si="25"/>
        <v>-10684</v>
      </c>
    </row>
    <row r="91" spans="2:9" x14ac:dyDescent="0.3">
      <c r="B91" s="8" t="s">
        <v>413</v>
      </c>
      <c r="D91" s="2">
        <f>+C59-D59</f>
        <v>1</v>
      </c>
      <c r="E91" s="2">
        <f t="shared" ref="E91:I91" si="26">+D59-E59</f>
        <v>0</v>
      </c>
      <c r="F91" s="2">
        <f t="shared" si="26"/>
        <v>-6</v>
      </c>
      <c r="G91" s="2">
        <f t="shared" si="26"/>
        <v>0</v>
      </c>
      <c r="H91" s="2">
        <f t="shared" si="26"/>
        <v>0</v>
      </c>
      <c r="I91" s="2">
        <f t="shared" si="26"/>
        <v>0</v>
      </c>
    </row>
    <row r="92" spans="2:9" x14ac:dyDescent="0.3">
      <c r="B92" s="8" t="s">
        <v>416</v>
      </c>
      <c r="D92" s="2">
        <f>+C61-D61+D26</f>
        <v>-15</v>
      </c>
      <c r="E92" s="2">
        <f t="shared" ref="E92:I92" si="27">+D61-E61+E26</f>
        <v>-2300</v>
      </c>
      <c r="F92" s="2">
        <f t="shared" si="27"/>
        <v>-301</v>
      </c>
      <c r="G92" s="2">
        <f t="shared" si="27"/>
        <v>-63</v>
      </c>
      <c r="H92" s="2">
        <f t="shared" si="27"/>
        <v>0</v>
      </c>
      <c r="I92" s="2">
        <f t="shared" si="27"/>
        <v>-1</v>
      </c>
    </row>
    <row r="93" spans="2:9" x14ac:dyDescent="0.3">
      <c r="B93" s="8" t="s">
        <v>274</v>
      </c>
      <c r="D93" s="2">
        <f>+D37+D77-C77</f>
        <v>-1365</v>
      </c>
      <c r="E93" s="2">
        <f t="shared" ref="E93:I93" si="28">+E37+E77-D77</f>
        <v>-1167</v>
      </c>
      <c r="F93" s="2">
        <f t="shared" si="28"/>
        <v>-1060</v>
      </c>
      <c r="G93" s="2">
        <f t="shared" si="28"/>
        <v>-689</v>
      </c>
      <c r="H93" s="2">
        <f t="shared" si="28"/>
        <v>-884</v>
      </c>
      <c r="I93" s="2">
        <f t="shared" si="28"/>
        <v>74</v>
      </c>
    </row>
    <row r="94" spans="2:9" x14ac:dyDescent="0.3">
      <c r="B94" s="8" t="s">
        <v>437</v>
      </c>
      <c r="D94" s="2">
        <f>+D33</f>
        <v>200</v>
      </c>
      <c r="E94" s="2">
        <f t="shared" ref="E94:I94" si="29">+E33</f>
        <v>108</v>
      </c>
      <c r="F94" s="2">
        <f t="shared" si="29"/>
        <v>381</v>
      </c>
      <c r="G94" s="2">
        <f t="shared" si="29"/>
        <v>129</v>
      </c>
      <c r="H94" s="2">
        <f t="shared" si="29"/>
        <v>106</v>
      </c>
      <c r="I94" s="2">
        <f t="shared" si="29"/>
        <v>-66</v>
      </c>
    </row>
    <row r="95" spans="2:9" ht="3.75" customHeight="1" x14ac:dyDescent="0.3"/>
    <row r="96" spans="2:9" x14ac:dyDescent="0.3">
      <c r="B96" s="32" t="s">
        <v>272</v>
      </c>
      <c r="C96" s="33"/>
      <c r="D96" s="33">
        <f>+D87+SUM(D89:D94)</f>
        <v>-5286</v>
      </c>
      <c r="E96" s="33">
        <f t="shared" ref="E96:I96" si="30">+E87+SUM(E89:E94)</f>
        <v>3329</v>
      </c>
      <c r="F96" s="33">
        <f t="shared" si="30"/>
        <v>3852</v>
      </c>
      <c r="G96" s="33">
        <f t="shared" si="30"/>
        <v>5310</v>
      </c>
      <c r="H96" s="33">
        <f t="shared" si="30"/>
        <v>6932</v>
      </c>
      <c r="I96" s="33">
        <f t="shared" si="30"/>
        <v>-5918</v>
      </c>
    </row>
    <row r="97" spans="2:9" ht="3.75" customHeight="1" x14ac:dyDescent="0.3"/>
    <row r="98" spans="2:9" x14ac:dyDescent="0.3">
      <c r="B98" s="8" t="s">
        <v>436</v>
      </c>
      <c r="D98" s="2">
        <f>+D32</f>
        <v>-1420</v>
      </c>
      <c r="E98" s="2">
        <f t="shared" ref="E98:I98" si="31">+E32</f>
        <v>-1627</v>
      </c>
      <c r="F98" s="2">
        <f t="shared" si="31"/>
        <v>-1230</v>
      </c>
      <c r="G98" s="2">
        <f t="shared" si="31"/>
        <v>-1257</v>
      </c>
      <c r="H98" s="2">
        <f t="shared" si="31"/>
        <v>-1393</v>
      </c>
      <c r="I98" s="2">
        <f t="shared" si="31"/>
        <v>-1619</v>
      </c>
    </row>
    <row r="99" spans="2:9" x14ac:dyDescent="0.3">
      <c r="B99" s="8" t="s">
        <v>414</v>
      </c>
      <c r="D99" s="2">
        <f t="shared" ref="D99:G99" si="32">+SUM(D67:D71)-SUM(C67:C71)+D31</f>
        <v>10312</v>
      </c>
      <c r="E99" s="2">
        <f t="shared" si="32"/>
        <v>-1088</v>
      </c>
      <c r="F99" s="2">
        <f t="shared" si="32"/>
        <v>2363</v>
      </c>
      <c r="G99" s="2">
        <f t="shared" si="32"/>
        <v>16788</v>
      </c>
      <c r="H99" s="2">
        <f>+SUM(H67:H71)-SUM(G67:G71)+H31</f>
        <v>-3118</v>
      </c>
      <c r="I99" s="2">
        <f t="shared" ref="I99" si="33">+SUM(I67:I71)-SUM(H67:H71)+I31</f>
        <v>11034</v>
      </c>
    </row>
    <row r="100" spans="2:9" x14ac:dyDescent="0.3">
      <c r="B100" s="8" t="s">
        <v>422</v>
      </c>
      <c r="D100" s="2">
        <f>+D75-C75</f>
        <v>-3097</v>
      </c>
      <c r="E100" s="2">
        <f t="shared" ref="E100:I100" si="34">+E75-D75</f>
        <v>-949</v>
      </c>
      <c r="F100" s="2">
        <f t="shared" si="34"/>
        <v>-2248</v>
      </c>
      <c r="G100" s="2">
        <f t="shared" si="34"/>
        <v>-23564</v>
      </c>
      <c r="H100" s="2">
        <f t="shared" si="34"/>
        <v>-2533</v>
      </c>
      <c r="I100" s="2">
        <f t="shared" si="34"/>
        <v>-3550</v>
      </c>
    </row>
    <row r="101" spans="2:9" x14ac:dyDescent="0.3">
      <c r="B101" s="8" t="s">
        <v>275</v>
      </c>
      <c r="D101" s="2">
        <f>+D65-C65-D39</f>
        <v>-110</v>
      </c>
      <c r="E101" s="2">
        <f t="shared" ref="E101:I101" si="35">+E65-D65-E39</f>
        <v>108</v>
      </c>
      <c r="F101" s="2">
        <f t="shared" si="35"/>
        <v>-32</v>
      </c>
      <c r="G101" s="2">
        <f t="shared" si="35"/>
        <v>72</v>
      </c>
      <c r="H101" s="2">
        <f t="shared" si="35"/>
        <v>-20</v>
      </c>
      <c r="I101" s="2">
        <f t="shared" si="35"/>
        <v>-51</v>
      </c>
    </row>
    <row r="102" spans="2:9" ht="3.75" customHeight="1" x14ac:dyDescent="0.3"/>
    <row r="103" spans="2:9" x14ac:dyDescent="0.3">
      <c r="B103" s="32" t="s">
        <v>273</v>
      </c>
      <c r="C103" s="33"/>
      <c r="D103" s="33">
        <f>+SUM(D98:D101)</f>
        <v>5685</v>
      </c>
      <c r="E103" s="33">
        <f t="shared" ref="E103:I103" si="36">+SUM(E98:E101)</f>
        <v>-3556</v>
      </c>
      <c r="F103" s="33">
        <f t="shared" si="36"/>
        <v>-1147</v>
      </c>
      <c r="G103" s="33">
        <f t="shared" si="36"/>
        <v>-7961</v>
      </c>
      <c r="H103" s="33">
        <f t="shared" si="36"/>
        <v>-7064</v>
      </c>
      <c r="I103" s="33">
        <f t="shared" si="36"/>
        <v>5814</v>
      </c>
    </row>
    <row r="104" spans="2:9" ht="3.75" customHeight="1" x14ac:dyDescent="0.3"/>
    <row r="105" spans="2:9" s="3" customFormat="1" ht="12.5" thickBot="1" x14ac:dyDescent="0.35">
      <c r="B105" s="30" t="s">
        <v>415</v>
      </c>
      <c r="C105" s="31"/>
      <c r="D105" s="31">
        <f>+D96+D103</f>
        <v>399</v>
      </c>
      <c r="E105" s="31">
        <f t="shared" ref="E105:I105" si="37">+E96+E103</f>
        <v>-227</v>
      </c>
      <c r="F105" s="31">
        <f t="shared" si="37"/>
        <v>2705</v>
      </c>
      <c r="G105" s="31">
        <f t="shared" si="37"/>
        <v>-2651</v>
      </c>
      <c r="H105" s="31">
        <f t="shared" si="37"/>
        <v>-132</v>
      </c>
      <c r="I105" s="31">
        <f t="shared" si="37"/>
        <v>-104</v>
      </c>
    </row>
    <row r="106" spans="2:9" s="36" customFormat="1" ht="9.5" x14ac:dyDescent="0.25">
      <c r="B106" s="35" t="s">
        <v>267</v>
      </c>
      <c r="D106" s="36">
        <f>+D72-C72+D105</f>
        <v>0</v>
      </c>
      <c r="E106" s="36">
        <f t="shared" ref="E106:I106" si="38">+E72-D72+E105</f>
        <v>0</v>
      </c>
      <c r="F106" s="36">
        <f t="shared" si="38"/>
        <v>0</v>
      </c>
      <c r="G106" s="36">
        <f t="shared" si="38"/>
        <v>0</v>
      </c>
      <c r="H106" s="36">
        <f t="shared" si="38"/>
        <v>0</v>
      </c>
      <c r="I106" s="36">
        <f t="shared" si="38"/>
        <v>0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3CDC9-AAD9-4CFB-A907-BA311F8FE993}">
  <sheetPr>
    <pageSetUpPr fitToPage="1"/>
  </sheetPr>
  <dimension ref="A1:J290"/>
  <sheetViews>
    <sheetView topLeftCell="A173" zoomScale="122" zoomScaleNormal="100" workbookViewId="0">
      <selection activeCell="J202" sqref="J202"/>
    </sheetView>
  </sheetViews>
  <sheetFormatPr defaultRowHeight="12" x14ac:dyDescent="0.3"/>
  <cols>
    <col min="1" max="1" width="2.77734375" style="11" customWidth="1"/>
    <col min="2" max="2" width="51.77734375" style="11" customWidth="1"/>
    <col min="3" max="9" width="15.6640625" style="11" customWidth="1"/>
    <col min="10" max="10" width="35.109375" style="26" bestFit="1" customWidth="1"/>
  </cols>
  <sheetData>
    <row r="1" spans="1:10" ht="15.65" customHeight="1" x14ac:dyDescent="0.3">
      <c r="A1" s="10"/>
    </row>
    <row r="2" spans="1:10" ht="13.15" customHeight="1" x14ac:dyDescent="0.3"/>
    <row r="3" spans="1:10" ht="29.25" customHeight="1" x14ac:dyDescent="0.3">
      <c r="A3" s="12"/>
      <c r="B3" s="13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</row>
    <row r="4" spans="1:10" ht="54" customHeight="1" x14ac:dyDescent="0.3">
      <c r="A4" s="15"/>
      <c r="B4" s="15"/>
      <c r="C4" s="16" t="s">
        <v>9</v>
      </c>
      <c r="D4" s="16" t="s">
        <v>9</v>
      </c>
      <c r="E4" s="16" t="s">
        <v>9</v>
      </c>
      <c r="F4" s="16" t="s">
        <v>9</v>
      </c>
      <c r="G4" s="16" t="s">
        <v>9</v>
      </c>
      <c r="H4" s="16" t="s">
        <v>9</v>
      </c>
      <c r="I4" s="16" t="s">
        <v>9</v>
      </c>
      <c r="J4" s="27" t="s">
        <v>405</v>
      </c>
    </row>
    <row r="5" spans="1:10" ht="16.899999999999999" customHeight="1" x14ac:dyDescent="0.3">
      <c r="A5" s="17"/>
      <c r="B5" s="18" t="s">
        <v>10</v>
      </c>
      <c r="C5" s="17"/>
      <c r="D5" s="17"/>
      <c r="E5" s="17"/>
      <c r="F5" s="17"/>
      <c r="G5" s="17"/>
      <c r="H5" s="17"/>
      <c r="I5" s="17"/>
    </row>
    <row r="6" spans="1:10" ht="16.899999999999999" customHeight="1" x14ac:dyDescent="0.3">
      <c r="A6" s="15"/>
      <c r="B6" s="19" t="s">
        <v>11</v>
      </c>
      <c r="C6" s="20">
        <v>0</v>
      </c>
      <c r="D6" s="20">
        <v>0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</row>
    <row r="7" spans="1:10" ht="16.899999999999999" customHeight="1" x14ac:dyDescent="0.3">
      <c r="A7" s="15"/>
      <c r="B7" s="19" t="s">
        <v>12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</row>
    <row r="8" spans="1:10" ht="16.899999999999999" customHeight="1" x14ac:dyDescent="0.3">
      <c r="A8" s="15"/>
      <c r="B8" s="15"/>
      <c r="C8" s="15"/>
      <c r="D8" s="15"/>
      <c r="E8" s="15"/>
      <c r="F8" s="15"/>
      <c r="G8" s="15"/>
      <c r="H8" s="15"/>
      <c r="I8" s="15"/>
    </row>
    <row r="9" spans="1:10" ht="27.65" customHeight="1" x14ac:dyDescent="0.3">
      <c r="A9" s="15"/>
      <c r="B9" s="19" t="s">
        <v>13</v>
      </c>
      <c r="C9" s="20">
        <v>34503000</v>
      </c>
      <c r="D9" s="20">
        <v>44167000</v>
      </c>
      <c r="E9" s="20">
        <v>45418000</v>
      </c>
      <c r="F9" s="20">
        <v>50058000</v>
      </c>
      <c r="G9" s="20">
        <v>73726000</v>
      </c>
      <c r="H9" s="20">
        <v>76596000</v>
      </c>
      <c r="I9" s="20">
        <v>84356000</v>
      </c>
    </row>
    <row r="10" spans="1:10" ht="16.899999999999999" customHeight="1" x14ac:dyDescent="0.3">
      <c r="A10" s="15"/>
      <c r="B10" s="19" t="s">
        <v>14</v>
      </c>
      <c r="C10" s="20">
        <v>3859000</v>
      </c>
      <c r="D10" s="20">
        <v>3831000</v>
      </c>
      <c r="E10" s="20">
        <v>3838000</v>
      </c>
      <c r="F10" s="20">
        <v>3846000</v>
      </c>
      <c r="G10" s="20">
        <v>3838000</v>
      </c>
      <c r="H10" s="20">
        <v>3834000</v>
      </c>
      <c r="I10" s="20">
        <v>3824000</v>
      </c>
    </row>
    <row r="11" spans="1:10" ht="16.899999999999999" customHeight="1" x14ac:dyDescent="0.3">
      <c r="A11" s="15"/>
      <c r="B11" s="19" t="s">
        <v>15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6" t="s">
        <v>254</v>
      </c>
    </row>
    <row r="12" spans="1:10" ht="16.899999999999999" customHeight="1" x14ac:dyDescent="0.3">
      <c r="A12" s="15"/>
      <c r="B12" s="19" t="s">
        <v>16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6" t="s">
        <v>254</v>
      </c>
    </row>
    <row r="13" spans="1:10" ht="16.899999999999999" customHeight="1" x14ac:dyDescent="0.3">
      <c r="A13" s="15"/>
      <c r="B13" s="19" t="s">
        <v>17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6" t="s">
        <v>254</v>
      </c>
    </row>
    <row r="14" spans="1:10" ht="16.899999999999999" customHeight="1" x14ac:dyDescent="0.3">
      <c r="A14" s="15"/>
      <c r="B14" s="19" t="s">
        <v>18</v>
      </c>
      <c r="C14" s="20">
        <v>38000</v>
      </c>
      <c r="D14" s="20">
        <v>10000</v>
      </c>
      <c r="E14" s="20">
        <v>17000</v>
      </c>
      <c r="F14" s="20">
        <v>25000</v>
      </c>
      <c r="G14" s="20">
        <v>17000</v>
      </c>
      <c r="H14" s="20">
        <v>13000</v>
      </c>
      <c r="I14" s="20">
        <v>3000</v>
      </c>
      <c r="J14" s="26" t="s">
        <v>254</v>
      </c>
    </row>
    <row r="15" spans="1:10" ht="16.899999999999999" customHeight="1" x14ac:dyDescent="0.3">
      <c r="A15" s="15"/>
      <c r="B15" s="19" t="s">
        <v>19</v>
      </c>
      <c r="C15" s="20">
        <v>3821000</v>
      </c>
      <c r="D15" s="20">
        <v>3821000</v>
      </c>
      <c r="E15" s="20">
        <v>3821000</v>
      </c>
      <c r="F15" s="20">
        <v>0</v>
      </c>
      <c r="G15" s="20">
        <v>3821000</v>
      </c>
      <c r="H15" s="20">
        <v>3821000</v>
      </c>
      <c r="I15" s="20">
        <v>3821000</v>
      </c>
      <c r="J15" s="26" t="s">
        <v>255</v>
      </c>
    </row>
    <row r="16" spans="1:10" ht="16.899999999999999" customHeight="1" x14ac:dyDescent="0.3">
      <c r="A16" s="15"/>
      <c r="B16" s="19" t="s">
        <v>20</v>
      </c>
      <c r="C16" s="20">
        <v>3821000</v>
      </c>
      <c r="D16" s="20">
        <v>3821000</v>
      </c>
      <c r="E16" s="20">
        <v>3821000</v>
      </c>
      <c r="F16" s="20"/>
      <c r="G16" s="16">
        <v>3821000</v>
      </c>
      <c r="H16" s="16">
        <v>3821000</v>
      </c>
      <c r="I16" s="16">
        <v>3821000</v>
      </c>
    </row>
    <row r="17" spans="1:10" ht="16.899999999999999" customHeight="1" x14ac:dyDescent="0.3">
      <c r="A17" s="15"/>
      <c r="B17" s="19" t="s">
        <v>21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6" t="s">
        <v>254</v>
      </c>
    </row>
    <row r="18" spans="1:10" ht="16.899999999999999" customHeight="1" x14ac:dyDescent="0.3">
      <c r="A18" s="15"/>
      <c r="B18" s="19" t="s">
        <v>22</v>
      </c>
      <c r="C18" s="20">
        <v>0</v>
      </c>
      <c r="D18" s="20">
        <v>0</v>
      </c>
      <c r="E18" s="20">
        <v>0</v>
      </c>
      <c r="F18" s="20">
        <v>3821000</v>
      </c>
      <c r="G18" s="20">
        <v>0</v>
      </c>
      <c r="H18" s="20">
        <v>0</v>
      </c>
      <c r="I18" s="20">
        <v>0</v>
      </c>
      <c r="J18" s="26" t="s">
        <v>254</v>
      </c>
    </row>
    <row r="19" spans="1:10" ht="16.899999999999999" customHeight="1" x14ac:dyDescent="0.3">
      <c r="A19" s="15"/>
      <c r="B19" s="19" t="s">
        <v>23</v>
      </c>
      <c r="C19" s="16">
        <v>333000</v>
      </c>
      <c r="D19" s="16">
        <v>379000</v>
      </c>
      <c r="E19" s="16">
        <v>382000</v>
      </c>
      <c r="F19" s="16">
        <v>378000</v>
      </c>
      <c r="G19" s="16"/>
      <c r="H19" s="16">
        <v>430000</v>
      </c>
      <c r="I19" s="16"/>
    </row>
    <row r="20" spans="1:10" ht="16.899999999999999" customHeight="1" x14ac:dyDescent="0.3">
      <c r="A20" s="15"/>
      <c r="B20" s="15"/>
      <c r="C20" s="15"/>
      <c r="D20" s="15"/>
      <c r="E20" s="15"/>
      <c r="F20" s="15"/>
      <c r="G20" s="15"/>
      <c r="H20" s="15"/>
      <c r="I20" s="15"/>
    </row>
    <row r="21" spans="1:10" ht="16.899999999999999" customHeight="1" x14ac:dyDescent="0.3">
      <c r="A21" s="15"/>
      <c r="B21" s="19" t="s">
        <v>24</v>
      </c>
      <c r="C21" s="20">
        <v>17960000</v>
      </c>
      <c r="D21" s="20">
        <v>25718000</v>
      </c>
      <c r="E21" s="20">
        <v>27100000</v>
      </c>
      <c r="F21" s="20">
        <v>31281000</v>
      </c>
      <c r="G21" s="20">
        <v>31257000</v>
      </c>
      <c r="H21" s="20">
        <v>31453000</v>
      </c>
      <c r="I21" s="20">
        <v>35954000</v>
      </c>
    </row>
    <row r="22" spans="1:10" ht="27.65" customHeight="1" x14ac:dyDescent="0.3">
      <c r="A22" s="15"/>
      <c r="B22" s="19" t="s">
        <v>25</v>
      </c>
      <c r="C22" s="16"/>
      <c r="D22" s="16"/>
      <c r="E22" s="16"/>
      <c r="F22" s="16"/>
      <c r="G22" s="16"/>
      <c r="H22" s="16"/>
      <c r="I22" s="16"/>
    </row>
    <row r="23" spans="1:10" ht="16.899999999999999" customHeight="1" x14ac:dyDescent="0.3">
      <c r="A23" s="15"/>
      <c r="B23" s="19" t="s">
        <v>26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6" t="s">
        <v>256</v>
      </c>
    </row>
    <row r="24" spans="1:10" ht="16.899999999999999" customHeight="1" x14ac:dyDescent="0.3">
      <c r="A24" s="15"/>
      <c r="B24" s="19" t="s">
        <v>27</v>
      </c>
      <c r="C24" s="20">
        <v>14704000</v>
      </c>
      <c r="D24" s="20">
        <v>0</v>
      </c>
      <c r="E24" s="20">
        <v>18668000</v>
      </c>
      <c r="F24" s="20">
        <v>26000000</v>
      </c>
      <c r="G24" s="20">
        <v>24835000</v>
      </c>
      <c r="H24" s="20">
        <v>20527000</v>
      </c>
      <c r="I24" s="20">
        <v>28887000</v>
      </c>
      <c r="J24" s="26" t="s">
        <v>256</v>
      </c>
    </row>
    <row r="25" spans="1:10" ht="16.899999999999999" customHeight="1" x14ac:dyDescent="0.3">
      <c r="A25" s="15"/>
      <c r="B25" s="19" t="s">
        <v>28</v>
      </c>
      <c r="C25" s="20">
        <v>696000</v>
      </c>
      <c r="D25" s="20">
        <v>0</v>
      </c>
      <c r="E25" s="20">
        <v>1407000</v>
      </c>
      <c r="F25" s="20">
        <v>1700000</v>
      </c>
      <c r="G25" s="20">
        <v>1609000</v>
      </c>
      <c r="H25" s="20">
        <v>1694000</v>
      </c>
      <c r="I25" s="20">
        <v>2132000</v>
      </c>
      <c r="J25" s="26" t="s">
        <v>256</v>
      </c>
    </row>
    <row r="26" spans="1:10" ht="16.899999999999999" customHeight="1" x14ac:dyDescent="0.3">
      <c r="A26" s="15"/>
      <c r="B26" s="19" t="s">
        <v>29</v>
      </c>
      <c r="C26" s="20">
        <v>2560000</v>
      </c>
      <c r="D26" s="20">
        <v>25718000</v>
      </c>
      <c r="E26" s="20">
        <v>4195000</v>
      </c>
      <c r="F26" s="20">
        <v>3523000</v>
      </c>
      <c r="G26" s="20">
        <v>2935000</v>
      </c>
      <c r="H26" s="20">
        <v>2321000</v>
      </c>
      <c r="I26" s="20">
        <v>3289000</v>
      </c>
      <c r="J26" s="26" t="s">
        <v>256</v>
      </c>
    </row>
    <row r="27" spans="1:10" ht="16.899999999999999" customHeight="1" x14ac:dyDescent="0.3">
      <c r="A27" s="15"/>
      <c r="B27" s="19" t="s">
        <v>30</v>
      </c>
      <c r="C27" s="20">
        <v>0</v>
      </c>
      <c r="D27" s="20">
        <v>0</v>
      </c>
      <c r="E27" s="20">
        <v>2830000</v>
      </c>
      <c r="F27" s="20">
        <v>58000</v>
      </c>
      <c r="G27" s="20">
        <v>1878000</v>
      </c>
      <c r="H27" s="20">
        <v>6911000</v>
      </c>
      <c r="I27" s="20">
        <v>1646000</v>
      </c>
      <c r="J27" s="26" t="s">
        <v>256</v>
      </c>
    </row>
    <row r="28" spans="1:10" ht="16.899999999999999" customHeight="1" x14ac:dyDescent="0.3">
      <c r="A28" s="15"/>
      <c r="B28" s="19" t="s">
        <v>31</v>
      </c>
      <c r="C28" s="20">
        <v>25896000</v>
      </c>
      <c r="D28" s="20">
        <v>30623000</v>
      </c>
      <c r="E28" s="16">
        <v>32691000</v>
      </c>
      <c r="F28" s="16">
        <v>32181000</v>
      </c>
      <c r="G28" s="20">
        <v>37337000</v>
      </c>
      <c r="H28" s="20">
        <v>43318000</v>
      </c>
      <c r="I28" s="20">
        <v>43689000</v>
      </c>
    </row>
    <row r="29" spans="1:10" ht="16.899999999999999" customHeight="1" x14ac:dyDescent="0.3">
      <c r="A29" s="15"/>
      <c r="B29" s="15"/>
      <c r="C29" s="15"/>
      <c r="D29" s="15"/>
      <c r="E29" s="15"/>
      <c r="F29" s="15"/>
      <c r="G29" s="15"/>
      <c r="H29" s="15"/>
      <c r="I29" s="15"/>
    </row>
    <row r="30" spans="1:10" ht="16.899999999999999" customHeight="1" x14ac:dyDescent="0.3">
      <c r="A30" s="15"/>
      <c r="B30" s="19" t="s">
        <v>32</v>
      </c>
      <c r="C30" s="20">
        <v>12684000</v>
      </c>
      <c r="D30" s="20">
        <v>14618000</v>
      </c>
      <c r="E30" s="20">
        <v>14480000</v>
      </c>
      <c r="F30" s="20">
        <v>14931000</v>
      </c>
      <c r="G30" s="20">
        <v>38631000</v>
      </c>
      <c r="H30" s="20">
        <v>41309000</v>
      </c>
      <c r="I30" s="21">
        <v>44578000</v>
      </c>
    </row>
    <row r="31" spans="1:10" ht="16.899999999999999" customHeight="1" x14ac:dyDescent="0.3">
      <c r="A31" s="15"/>
      <c r="B31" s="19" t="s">
        <v>33</v>
      </c>
      <c r="C31" s="16"/>
      <c r="D31" s="16"/>
      <c r="E31" s="16"/>
      <c r="F31" s="16"/>
      <c r="G31" s="16">
        <v>136000</v>
      </c>
      <c r="H31" s="20">
        <v>281000</v>
      </c>
      <c r="I31" s="20">
        <v>0</v>
      </c>
    </row>
    <row r="32" spans="1:10" ht="16.899999999999999" customHeight="1" x14ac:dyDescent="0.3">
      <c r="A32" s="15"/>
      <c r="B32" s="19" t="s">
        <v>34</v>
      </c>
      <c r="C32" s="20">
        <v>8626000</v>
      </c>
      <c r="D32" s="20">
        <v>11723000</v>
      </c>
      <c r="E32" s="20">
        <v>12672000</v>
      </c>
      <c r="F32" s="20">
        <v>14920000</v>
      </c>
      <c r="G32" s="20">
        <v>38484000</v>
      </c>
      <c r="H32" s="20">
        <v>41017000</v>
      </c>
      <c r="I32" s="21">
        <v>44567000</v>
      </c>
    </row>
    <row r="33" spans="1:10" ht="16.899999999999999" customHeight="1" x14ac:dyDescent="0.3">
      <c r="A33" s="15"/>
      <c r="B33" s="19" t="s">
        <v>35</v>
      </c>
      <c r="C33" s="20">
        <v>8621000</v>
      </c>
      <c r="D33" s="20">
        <v>11667000</v>
      </c>
      <c r="E33" s="20">
        <v>12616000</v>
      </c>
      <c r="F33" s="20">
        <v>14914000</v>
      </c>
      <c r="G33" s="20">
        <v>38478000</v>
      </c>
      <c r="H33" s="20">
        <v>41012000</v>
      </c>
      <c r="I33" s="20">
        <v>44562000</v>
      </c>
      <c r="J33" s="26" t="s">
        <v>421</v>
      </c>
    </row>
    <row r="34" spans="1:10" ht="16.899999999999999" customHeight="1" x14ac:dyDescent="0.3">
      <c r="A34" s="15"/>
      <c r="B34" s="19" t="s">
        <v>36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6" t="s">
        <v>421</v>
      </c>
    </row>
    <row r="35" spans="1:10" ht="16.899999999999999" customHeight="1" x14ac:dyDescent="0.3">
      <c r="A35" s="15"/>
      <c r="B35" s="19" t="s">
        <v>37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6" t="s">
        <v>421</v>
      </c>
    </row>
    <row r="36" spans="1:10" ht="27.65" customHeight="1" x14ac:dyDescent="0.3">
      <c r="A36" s="15"/>
      <c r="B36" s="19" t="s">
        <v>38</v>
      </c>
      <c r="C36" s="16"/>
      <c r="D36" s="16"/>
      <c r="E36" s="16"/>
      <c r="F36" s="16">
        <v>0</v>
      </c>
      <c r="G36" s="20">
        <v>0</v>
      </c>
      <c r="H36" s="20">
        <v>0</v>
      </c>
      <c r="I36" s="20">
        <v>0</v>
      </c>
      <c r="J36" s="26" t="s">
        <v>421</v>
      </c>
    </row>
    <row r="37" spans="1:10" ht="16.899999999999999" customHeight="1" x14ac:dyDescent="0.3">
      <c r="A37" s="15"/>
      <c r="B37" s="19" t="s">
        <v>39</v>
      </c>
      <c r="C37" s="20">
        <v>5000</v>
      </c>
      <c r="D37" s="20">
        <v>56000</v>
      </c>
      <c r="E37" s="20">
        <v>56000</v>
      </c>
      <c r="F37" s="20">
        <v>6000</v>
      </c>
      <c r="G37" s="20">
        <v>6000</v>
      </c>
      <c r="H37" s="20">
        <v>5000</v>
      </c>
      <c r="I37" s="20">
        <v>5000</v>
      </c>
      <c r="J37" s="26" t="s">
        <v>421</v>
      </c>
    </row>
    <row r="38" spans="1:10" ht="16.899999999999999" customHeight="1" x14ac:dyDescent="0.3">
      <c r="A38" s="15"/>
      <c r="B38" s="19" t="s">
        <v>40</v>
      </c>
      <c r="C38" s="20">
        <v>4058000</v>
      </c>
      <c r="D38" s="20">
        <v>2895000</v>
      </c>
      <c r="E38" s="20">
        <v>1808000</v>
      </c>
      <c r="F38" s="20">
        <v>11000</v>
      </c>
      <c r="G38" s="20">
        <v>147000</v>
      </c>
      <c r="H38" s="20">
        <v>292000</v>
      </c>
      <c r="I38" s="20">
        <v>11000</v>
      </c>
    </row>
    <row r="39" spans="1:10" ht="16.899999999999999" customHeight="1" x14ac:dyDescent="0.3">
      <c r="A39" s="15"/>
      <c r="B39" s="19" t="s">
        <v>41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6" t="s">
        <v>420</v>
      </c>
    </row>
    <row r="40" spans="1:10" ht="16.899999999999999" customHeight="1" x14ac:dyDescent="0.3">
      <c r="A40" s="15"/>
      <c r="B40" s="19" t="s">
        <v>42</v>
      </c>
      <c r="C40" s="20">
        <v>4052000</v>
      </c>
      <c r="D40" s="20">
        <v>2750000</v>
      </c>
      <c r="E40" s="20">
        <v>1750000</v>
      </c>
      <c r="F40" s="20">
        <v>0</v>
      </c>
      <c r="G40" s="20">
        <v>0</v>
      </c>
      <c r="H40" s="20">
        <v>0</v>
      </c>
      <c r="I40" s="20">
        <v>0</v>
      </c>
      <c r="J40" s="26" t="s">
        <v>420</v>
      </c>
    </row>
    <row r="41" spans="1:10" ht="16.899999999999999" customHeight="1" x14ac:dyDescent="0.3">
      <c r="A41" s="15"/>
      <c r="B41" s="19" t="s">
        <v>43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6" t="s">
        <v>420</v>
      </c>
    </row>
    <row r="42" spans="1:10" ht="16.899999999999999" customHeight="1" x14ac:dyDescent="0.3">
      <c r="A42" s="15"/>
      <c r="B42" s="19" t="s">
        <v>44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6" t="s">
        <v>420</v>
      </c>
    </row>
    <row r="43" spans="1:10" ht="16.899999999999999" customHeight="1" x14ac:dyDescent="0.3">
      <c r="A43" s="15"/>
      <c r="B43" s="19" t="s">
        <v>45</v>
      </c>
      <c r="C43" s="20">
        <v>0</v>
      </c>
      <c r="D43" s="20">
        <v>0</v>
      </c>
      <c r="E43" s="20">
        <v>0</v>
      </c>
      <c r="F43" s="20">
        <v>0</v>
      </c>
      <c r="G43" s="20">
        <v>136000</v>
      </c>
      <c r="H43" s="20">
        <v>281000</v>
      </c>
      <c r="I43" s="20">
        <v>0</v>
      </c>
      <c r="J43" s="26" t="s">
        <v>420</v>
      </c>
    </row>
    <row r="44" spans="1:10" ht="16.899999999999999" customHeight="1" x14ac:dyDescent="0.3">
      <c r="A44" s="15"/>
      <c r="B44" s="19" t="s">
        <v>46</v>
      </c>
      <c r="C44" s="20">
        <v>0</v>
      </c>
      <c r="D44" s="20">
        <v>140000</v>
      </c>
      <c r="E44" s="20">
        <v>53000</v>
      </c>
      <c r="F44" s="20">
        <v>0</v>
      </c>
      <c r="G44" s="20">
        <v>0</v>
      </c>
      <c r="H44" s="20">
        <v>0</v>
      </c>
      <c r="I44" s="20">
        <v>0</v>
      </c>
      <c r="J44" s="26" t="s">
        <v>420</v>
      </c>
    </row>
    <row r="45" spans="1:10" ht="27.65" customHeight="1" x14ac:dyDescent="0.3">
      <c r="A45" s="15"/>
      <c r="B45" s="19" t="s">
        <v>47</v>
      </c>
      <c r="C45" s="16"/>
      <c r="D45" s="16"/>
      <c r="E45" s="16"/>
      <c r="F45" s="16">
        <v>0</v>
      </c>
      <c r="G45" s="20">
        <v>0</v>
      </c>
      <c r="H45" s="20">
        <v>0</v>
      </c>
      <c r="I45" s="20">
        <v>0</v>
      </c>
      <c r="J45" s="26" t="s">
        <v>420</v>
      </c>
    </row>
    <row r="46" spans="1:10" ht="27.65" customHeight="1" x14ac:dyDescent="0.3">
      <c r="A46" s="15"/>
      <c r="B46" s="19" t="s">
        <v>48</v>
      </c>
      <c r="C46" s="16"/>
      <c r="D46" s="16"/>
      <c r="E46" s="16"/>
      <c r="F46" s="16">
        <v>0</v>
      </c>
      <c r="G46" s="20">
        <v>0</v>
      </c>
      <c r="H46" s="20">
        <v>0</v>
      </c>
      <c r="I46" s="20">
        <v>0</v>
      </c>
      <c r="J46" s="26" t="s">
        <v>420</v>
      </c>
    </row>
    <row r="47" spans="1:10" ht="16.899999999999999" customHeight="1" x14ac:dyDescent="0.3">
      <c r="A47" s="15"/>
      <c r="B47" s="19" t="s">
        <v>49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6" t="s">
        <v>434</v>
      </c>
    </row>
    <row r="48" spans="1:10" ht="16.899999999999999" customHeight="1" x14ac:dyDescent="0.3">
      <c r="A48" s="15"/>
      <c r="B48" s="19" t="s">
        <v>50</v>
      </c>
      <c r="C48" s="20">
        <v>6000</v>
      </c>
      <c r="D48" s="20">
        <v>5000</v>
      </c>
      <c r="E48" s="20">
        <v>5000</v>
      </c>
      <c r="F48" s="20">
        <v>11000</v>
      </c>
      <c r="G48" s="20">
        <v>11000</v>
      </c>
      <c r="H48" s="20">
        <v>11000</v>
      </c>
      <c r="I48" s="20">
        <v>11000</v>
      </c>
      <c r="J48" s="26" t="s">
        <v>434</v>
      </c>
    </row>
    <row r="49" spans="1:10" ht="16.899999999999999" customHeight="1" x14ac:dyDescent="0.3">
      <c r="A49" s="15"/>
      <c r="B49" s="19" t="s">
        <v>51</v>
      </c>
      <c r="C49" s="20">
        <v>0</v>
      </c>
      <c r="D49" s="20">
        <v>0</v>
      </c>
      <c r="E49" s="20">
        <v>0</v>
      </c>
      <c r="F49" s="20">
        <v>0</v>
      </c>
      <c r="G49" s="20">
        <v>136000</v>
      </c>
      <c r="H49" s="20">
        <v>281000</v>
      </c>
      <c r="I49" s="20">
        <v>0</v>
      </c>
    </row>
    <row r="50" spans="1:10" ht="16.899999999999999" customHeight="1" x14ac:dyDescent="0.3">
      <c r="A50" s="15"/>
      <c r="B50" s="19" t="s">
        <v>52</v>
      </c>
      <c r="C50" s="20">
        <v>4058000</v>
      </c>
      <c r="D50" s="20">
        <v>2895000</v>
      </c>
      <c r="E50" s="20">
        <v>1808000</v>
      </c>
      <c r="F50" s="20">
        <v>11000</v>
      </c>
      <c r="G50" s="20">
        <v>11000</v>
      </c>
      <c r="H50" s="20">
        <v>11000</v>
      </c>
      <c r="I50" s="20">
        <v>11000</v>
      </c>
    </row>
    <row r="51" spans="1:10" ht="16.899999999999999" customHeight="1" x14ac:dyDescent="0.3">
      <c r="A51" s="15"/>
      <c r="B51" s="19" t="s">
        <v>53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</row>
    <row r="52" spans="1:10" ht="16.899999999999999" customHeight="1" x14ac:dyDescent="0.3">
      <c r="A52" s="15"/>
      <c r="B52" s="19" t="s">
        <v>54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</row>
    <row r="53" spans="1:10" ht="16.899999999999999" customHeight="1" x14ac:dyDescent="0.3">
      <c r="A53" s="15"/>
      <c r="B53" s="19" t="s">
        <v>55</v>
      </c>
      <c r="C53" s="16"/>
      <c r="D53" s="16"/>
      <c r="E53" s="16"/>
      <c r="F53" s="16">
        <v>0</v>
      </c>
      <c r="G53" s="20">
        <v>0</v>
      </c>
      <c r="H53" s="20">
        <v>0</v>
      </c>
      <c r="I53" s="20">
        <v>0</v>
      </c>
    </row>
    <row r="54" spans="1:10" ht="16.899999999999999" customHeight="1" x14ac:dyDescent="0.3">
      <c r="A54" s="15"/>
      <c r="B54" s="19" t="s">
        <v>56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</row>
    <row r="55" spans="1:10" ht="16.899999999999999" customHeight="1" x14ac:dyDescent="0.3">
      <c r="A55" s="15"/>
      <c r="B55" s="15"/>
      <c r="C55" s="15"/>
      <c r="D55" s="15"/>
      <c r="E55" s="15"/>
      <c r="F55" s="15"/>
      <c r="G55" s="15"/>
      <c r="H55" s="15"/>
      <c r="I55" s="15"/>
    </row>
    <row r="56" spans="1:10" ht="16.899999999999999" customHeight="1" x14ac:dyDescent="0.3">
      <c r="A56" s="15"/>
      <c r="B56" s="19" t="s">
        <v>57</v>
      </c>
      <c r="C56" s="20">
        <v>23980000</v>
      </c>
      <c r="D56" s="20">
        <v>24655000</v>
      </c>
      <c r="E56" s="20">
        <v>23407000</v>
      </c>
      <c r="F56" s="20">
        <v>23549000</v>
      </c>
      <c r="G56" s="20">
        <v>21580000</v>
      </c>
      <c r="H56" s="20">
        <v>37424000</v>
      </c>
      <c r="I56" s="20">
        <v>47021000</v>
      </c>
    </row>
    <row r="57" spans="1:10" ht="16.899999999999999" customHeight="1" x14ac:dyDescent="0.3">
      <c r="A57" s="15"/>
      <c r="B57" s="19" t="s">
        <v>58</v>
      </c>
      <c r="C57" s="20">
        <v>297000</v>
      </c>
      <c r="D57" s="20">
        <v>287000</v>
      </c>
      <c r="E57" s="20">
        <v>215000</v>
      </c>
      <c r="F57" s="20">
        <v>128000</v>
      </c>
      <c r="G57" s="20">
        <v>142000</v>
      </c>
      <c r="H57" s="20">
        <v>103000</v>
      </c>
      <c r="I57" s="20">
        <v>140000</v>
      </c>
    </row>
    <row r="58" spans="1:10" ht="16.899999999999999" customHeight="1" x14ac:dyDescent="0.3">
      <c r="A58" s="15"/>
      <c r="B58" s="19" t="s">
        <v>59</v>
      </c>
      <c r="C58" s="20">
        <v>297000</v>
      </c>
      <c r="D58" s="20">
        <v>287000</v>
      </c>
      <c r="E58" s="20">
        <v>215000</v>
      </c>
      <c r="F58" s="20">
        <v>128000</v>
      </c>
      <c r="G58" s="20">
        <v>142000</v>
      </c>
      <c r="H58" s="20">
        <v>103000</v>
      </c>
      <c r="I58" s="20">
        <v>140000</v>
      </c>
      <c r="J58" s="26" t="s">
        <v>440</v>
      </c>
    </row>
    <row r="59" spans="1:10" ht="16.899999999999999" customHeight="1" x14ac:dyDescent="0.3">
      <c r="A59" s="15"/>
      <c r="B59" s="19" t="s">
        <v>60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6" t="s">
        <v>440</v>
      </c>
    </row>
    <row r="60" spans="1:10" ht="16.899999999999999" customHeight="1" x14ac:dyDescent="0.3">
      <c r="A60" s="15"/>
      <c r="B60" s="19" t="s">
        <v>61</v>
      </c>
      <c r="C60" s="20">
        <v>0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6" t="s">
        <v>440</v>
      </c>
    </row>
    <row r="61" spans="1:10" ht="16.899999999999999" customHeight="1" x14ac:dyDescent="0.3">
      <c r="A61" s="15"/>
      <c r="B61" s="19" t="s">
        <v>62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6" t="s">
        <v>440</v>
      </c>
    </row>
    <row r="62" spans="1:10" ht="16.899999999999999" customHeight="1" x14ac:dyDescent="0.3">
      <c r="A62" s="15"/>
      <c r="B62" s="19" t="s">
        <v>63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6" t="s">
        <v>440</v>
      </c>
    </row>
    <row r="63" spans="1:10" ht="27.65" customHeight="1" x14ac:dyDescent="0.3">
      <c r="A63" s="15"/>
      <c r="B63" s="19" t="s">
        <v>64</v>
      </c>
      <c r="C63" s="16"/>
      <c r="D63" s="16"/>
      <c r="E63" s="16"/>
      <c r="F63" s="16">
        <v>0</v>
      </c>
      <c r="G63" s="20">
        <v>0</v>
      </c>
      <c r="H63" s="20">
        <v>0</v>
      </c>
      <c r="I63" s="20">
        <v>0</v>
      </c>
      <c r="J63" s="26" t="s">
        <v>440</v>
      </c>
    </row>
    <row r="64" spans="1:10" ht="16.899999999999999" customHeight="1" x14ac:dyDescent="0.3">
      <c r="A64" s="15"/>
      <c r="B64" s="15"/>
      <c r="C64" s="15"/>
      <c r="D64" s="15"/>
      <c r="E64" s="15"/>
      <c r="F64" s="15"/>
      <c r="G64" s="15"/>
      <c r="H64" s="15"/>
      <c r="I64" s="15"/>
    </row>
    <row r="65" spans="1:10" ht="16.899999999999999" customHeight="1" x14ac:dyDescent="0.3">
      <c r="A65" s="15"/>
      <c r="B65" s="19" t="s">
        <v>65</v>
      </c>
      <c r="C65" s="20">
        <v>23569000</v>
      </c>
      <c r="D65" s="20">
        <v>23856000</v>
      </c>
      <c r="E65" s="20">
        <v>22908000</v>
      </c>
      <c r="F65" s="20">
        <v>17539000</v>
      </c>
      <c r="G65" s="20">
        <v>19057000</v>
      </c>
      <c r="H65" s="20">
        <v>17785000</v>
      </c>
      <c r="I65" s="20">
        <v>23615000</v>
      </c>
    </row>
    <row r="66" spans="1:10" ht="16.899999999999999" customHeight="1" x14ac:dyDescent="0.3">
      <c r="A66" s="15"/>
      <c r="B66" s="19" t="s">
        <v>66</v>
      </c>
      <c r="C66" s="20">
        <v>21377000</v>
      </c>
      <c r="D66" s="20">
        <v>12897000</v>
      </c>
      <c r="E66" s="20">
        <v>12153000</v>
      </c>
      <c r="F66" s="20">
        <v>12870000</v>
      </c>
      <c r="G66" s="20">
        <v>14732000</v>
      </c>
      <c r="H66" s="20">
        <v>13653000</v>
      </c>
      <c r="I66" s="21">
        <v>17104000</v>
      </c>
      <c r="J66" s="26" t="s">
        <v>441</v>
      </c>
    </row>
    <row r="67" spans="1:10" ht="16.899999999999999" customHeight="1" x14ac:dyDescent="0.3">
      <c r="A67" s="15"/>
      <c r="B67" s="19" t="s">
        <v>67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1">
        <v>0</v>
      </c>
      <c r="J67" s="26" t="s">
        <v>441</v>
      </c>
    </row>
    <row r="68" spans="1:10" ht="16.899999999999999" customHeight="1" x14ac:dyDescent="0.3">
      <c r="A68" s="15"/>
      <c r="B68" s="19" t="s">
        <v>68</v>
      </c>
      <c r="C68" s="20">
        <v>0</v>
      </c>
      <c r="D68" s="20">
        <v>6842000</v>
      </c>
      <c r="E68" s="20">
        <v>8071000</v>
      </c>
      <c r="F68" s="20">
        <v>1949000</v>
      </c>
      <c r="G68" s="20">
        <v>1790000</v>
      </c>
      <c r="H68" s="20">
        <v>1627000</v>
      </c>
      <c r="I68" s="21">
        <v>2521000</v>
      </c>
      <c r="J68" s="26" t="s">
        <v>257</v>
      </c>
    </row>
    <row r="69" spans="1:10" ht="16.899999999999999" customHeight="1" x14ac:dyDescent="0.3">
      <c r="A69" s="15"/>
      <c r="B69" s="19" t="s">
        <v>69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1">
        <v>0</v>
      </c>
      <c r="J69" s="26" t="s">
        <v>257</v>
      </c>
    </row>
    <row r="70" spans="1:10" ht="16.899999999999999" customHeight="1" x14ac:dyDescent="0.3">
      <c r="A70" s="15"/>
      <c r="B70" s="19" t="s">
        <v>70</v>
      </c>
      <c r="C70" s="20">
        <v>302000</v>
      </c>
      <c r="D70" s="20">
        <v>499000</v>
      </c>
      <c r="E70" s="20">
        <v>0</v>
      </c>
      <c r="F70" s="20">
        <v>510000</v>
      </c>
      <c r="G70" s="20">
        <v>0</v>
      </c>
      <c r="H70" s="20">
        <v>0</v>
      </c>
      <c r="I70" s="21">
        <v>592000</v>
      </c>
      <c r="J70" s="26" t="s">
        <v>257</v>
      </c>
    </row>
    <row r="71" spans="1:10" ht="16.899999999999999" customHeight="1" x14ac:dyDescent="0.3">
      <c r="A71" s="15"/>
      <c r="B71" s="19" t="s">
        <v>71</v>
      </c>
      <c r="C71" s="20">
        <v>0</v>
      </c>
      <c r="D71" s="20">
        <v>0</v>
      </c>
      <c r="E71" s="20">
        <v>0</v>
      </c>
      <c r="F71" s="20">
        <v>32000</v>
      </c>
      <c r="G71" s="20">
        <v>0</v>
      </c>
      <c r="H71" s="20">
        <v>0</v>
      </c>
      <c r="I71" s="21">
        <v>207000</v>
      </c>
      <c r="J71" s="26" t="s">
        <v>257</v>
      </c>
    </row>
    <row r="72" spans="1:10" ht="16.899999999999999" customHeight="1" x14ac:dyDescent="0.3">
      <c r="A72" s="15"/>
      <c r="B72" s="19" t="s">
        <v>72</v>
      </c>
      <c r="C72" s="20">
        <v>0</v>
      </c>
      <c r="D72" s="20">
        <v>0</v>
      </c>
      <c r="E72" s="20">
        <v>21000</v>
      </c>
      <c r="F72" s="20">
        <v>0</v>
      </c>
      <c r="G72" s="20">
        <v>0</v>
      </c>
      <c r="H72" s="20">
        <v>0</v>
      </c>
      <c r="I72" s="21">
        <v>879000</v>
      </c>
      <c r="J72" s="26" t="s">
        <v>257</v>
      </c>
    </row>
    <row r="73" spans="1:10" ht="16.899999999999999" customHeight="1" x14ac:dyDescent="0.3">
      <c r="A73" s="15"/>
      <c r="B73" s="19" t="s">
        <v>73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1">
        <v>0</v>
      </c>
      <c r="J73" s="26" t="s">
        <v>257</v>
      </c>
    </row>
    <row r="74" spans="1:10" ht="27.65" customHeight="1" x14ac:dyDescent="0.3">
      <c r="A74" s="15"/>
      <c r="B74" s="19" t="s">
        <v>74</v>
      </c>
      <c r="C74" s="16"/>
      <c r="D74" s="16"/>
      <c r="E74" s="16"/>
      <c r="F74" s="16">
        <v>0</v>
      </c>
      <c r="G74" s="20">
        <v>0</v>
      </c>
      <c r="H74" s="20">
        <v>0</v>
      </c>
      <c r="I74" s="21">
        <v>0</v>
      </c>
      <c r="J74" s="26" t="s">
        <v>257</v>
      </c>
    </row>
    <row r="75" spans="1:10" ht="27.65" customHeight="1" x14ac:dyDescent="0.3">
      <c r="A75" s="15"/>
      <c r="B75" s="19" t="s">
        <v>75</v>
      </c>
      <c r="C75" s="16"/>
      <c r="D75" s="16"/>
      <c r="E75" s="16"/>
      <c r="F75" s="16">
        <v>0</v>
      </c>
      <c r="G75" s="20">
        <v>0</v>
      </c>
      <c r="H75" s="20">
        <v>0</v>
      </c>
      <c r="I75" s="21">
        <v>0</v>
      </c>
      <c r="J75" s="26" t="s">
        <v>257</v>
      </c>
    </row>
    <row r="76" spans="1:10" ht="16.899999999999999" customHeight="1" x14ac:dyDescent="0.3">
      <c r="A76" s="15"/>
      <c r="B76" s="19" t="s">
        <v>76</v>
      </c>
      <c r="C76" s="20">
        <v>1000</v>
      </c>
      <c r="D76" s="20">
        <v>1000</v>
      </c>
      <c r="E76" s="20">
        <v>241000</v>
      </c>
      <c r="F76" s="20">
        <v>52000</v>
      </c>
      <c r="G76" s="20">
        <v>155000</v>
      </c>
      <c r="H76" s="20">
        <v>57000</v>
      </c>
      <c r="I76" s="20">
        <v>117000</v>
      </c>
      <c r="J76" s="26" t="s">
        <v>443</v>
      </c>
    </row>
    <row r="77" spans="1:10" ht="16.899999999999999" customHeight="1" x14ac:dyDescent="0.3">
      <c r="A77" s="15"/>
      <c r="B77" s="19" t="s">
        <v>77</v>
      </c>
      <c r="C77" s="20">
        <v>0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6" t="s">
        <v>443</v>
      </c>
    </row>
    <row r="78" spans="1:10" ht="16.899999999999999" customHeight="1" x14ac:dyDescent="0.3">
      <c r="A78" s="15"/>
      <c r="B78" s="19" t="s">
        <v>78</v>
      </c>
      <c r="C78" s="20">
        <v>0</v>
      </c>
      <c r="D78" s="20">
        <v>0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6" t="s">
        <v>443</v>
      </c>
    </row>
    <row r="79" spans="1:10" ht="16.899999999999999" customHeight="1" x14ac:dyDescent="0.3">
      <c r="A79" s="15"/>
      <c r="B79" s="19" t="s">
        <v>79</v>
      </c>
      <c r="C79" s="20">
        <v>849000</v>
      </c>
      <c r="D79" s="20">
        <v>1022000</v>
      </c>
      <c r="E79" s="20">
        <v>1148000</v>
      </c>
      <c r="F79" s="20">
        <v>1432000</v>
      </c>
      <c r="G79" s="20">
        <v>1613000</v>
      </c>
      <c r="H79" s="20">
        <v>1906000</v>
      </c>
      <c r="I79" s="20">
        <v>1832000</v>
      </c>
      <c r="J79" s="26" t="s">
        <v>431</v>
      </c>
    </row>
    <row r="80" spans="1:10" ht="16.899999999999999" customHeight="1" x14ac:dyDescent="0.3">
      <c r="A80" s="15"/>
      <c r="B80" s="19" t="s">
        <v>80</v>
      </c>
      <c r="C80" s="20">
        <v>1040000</v>
      </c>
      <c r="D80" s="20">
        <v>2595000</v>
      </c>
      <c r="E80" s="20">
        <v>1274000</v>
      </c>
      <c r="F80" s="20">
        <v>694000</v>
      </c>
      <c r="G80" s="20">
        <v>767000</v>
      </c>
      <c r="H80" s="20">
        <v>542000</v>
      </c>
      <c r="I80" s="20">
        <v>363000</v>
      </c>
      <c r="J80" s="26" t="s">
        <v>443</v>
      </c>
    </row>
    <row r="81" spans="1:10" ht="16.899999999999999" customHeight="1" x14ac:dyDescent="0.3">
      <c r="A81" s="15"/>
      <c r="B81" s="19" t="s">
        <v>81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6" t="s">
        <v>443</v>
      </c>
    </row>
    <row r="82" spans="1:10" ht="16.899999999999999" customHeight="1" x14ac:dyDescent="0.3">
      <c r="A82" s="15"/>
      <c r="B82" s="19" t="s">
        <v>82</v>
      </c>
      <c r="C82" s="20">
        <v>22720000</v>
      </c>
      <c r="D82" s="20">
        <v>22834000</v>
      </c>
      <c r="E82" s="20">
        <v>21760000</v>
      </c>
      <c r="F82" s="20">
        <v>16075000</v>
      </c>
      <c r="G82" s="20">
        <v>17444000</v>
      </c>
      <c r="H82" s="20">
        <v>15879000</v>
      </c>
      <c r="I82" s="20">
        <v>21576000</v>
      </c>
    </row>
    <row r="83" spans="1:10" ht="16.899999999999999" customHeight="1" x14ac:dyDescent="0.3">
      <c r="A83" s="15"/>
      <c r="B83" s="19" t="s">
        <v>83</v>
      </c>
      <c r="C83" s="16"/>
      <c r="D83" s="16"/>
      <c r="E83" s="16"/>
      <c r="F83" s="16"/>
      <c r="G83" s="16"/>
      <c r="H83" s="16"/>
      <c r="I83" s="16"/>
    </row>
    <row r="84" spans="1:10" ht="16.899999999999999" customHeight="1" x14ac:dyDescent="0.3">
      <c r="A84" s="15"/>
      <c r="B84" s="19" t="s">
        <v>84</v>
      </c>
      <c r="C84" s="20">
        <v>849000</v>
      </c>
      <c r="D84" s="20">
        <v>1022000</v>
      </c>
      <c r="E84" s="20">
        <v>1148000</v>
      </c>
      <c r="F84" s="20">
        <v>1464000</v>
      </c>
      <c r="G84" s="20">
        <v>1613000</v>
      </c>
      <c r="H84" s="20">
        <v>1906000</v>
      </c>
      <c r="I84" s="20">
        <v>2039000</v>
      </c>
    </row>
    <row r="85" spans="1:10" ht="16.899999999999999" customHeight="1" x14ac:dyDescent="0.3">
      <c r="A85" s="15"/>
      <c r="B85" s="15"/>
      <c r="C85" s="15"/>
      <c r="D85" s="15"/>
      <c r="E85" s="15"/>
      <c r="F85" s="15"/>
      <c r="G85" s="15"/>
      <c r="H85" s="15"/>
      <c r="I85" s="15"/>
    </row>
    <row r="86" spans="1:10" ht="16.899999999999999" customHeight="1" x14ac:dyDescent="0.3">
      <c r="A86" s="15"/>
      <c r="B86" s="19" t="s">
        <v>85</v>
      </c>
      <c r="C86" s="20">
        <v>3000</v>
      </c>
      <c r="D86" s="20">
        <v>2000</v>
      </c>
      <c r="E86" s="20">
        <v>1000</v>
      </c>
      <c r="F86" s="20">
        <v>2894000</v>
      </c>
      <c r="G86" s="20">
        <v>2044000</v>
      </c>
      <c r="H86" s="20">
        <v>19331000</v>
      </c>
      <c r="I86" s="21">
        <v>23165000</v>
      </c>
    </row>
    <row r="87" spans="1:10" ht="16.899999999999999" customHeight="1" x14ac:dyDescent="0.3">
      <c r="A87" s="15"/>
      <c r="B87" s="19" t="s">
        <v>86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6" t="s">
        <v>419</v>
      </c>
    </row>
    <row r="88" spans="1:10" ht="16.899999999999999" customHeight="1" x14ac:dyDescent="0.3">
      <c r="A88" s="15"/>
      <c r="B88" s="19" t="s">
        <v>87</v>
      </c>
      <c r="C88" s="20">
        <v>0</v>
      </c>
      <c r="D88" s="20">
        <v>0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6" t="s">
        <v>419</v>
      </c>
    </row>
    <row r="89" spans="1:10" ht="16.899999999999999" customHeight="1" x14ac:dyDescent="0.3">
      <c r="A89" s="15"/>
      <c r="B89" s="19" t="s">
        <v>88</v>
      </c>
      <c r="C89" s="20">
        <v>0</v>
      </c>
      <c r="D89" s="20">
        <v>0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6" t="s">
        <v>419</v>
      </c>
    </row>
    <row r="90" spans="1:10" ht="27.65" customHeight="1" x14ac:dyDescent="0.3">
      <c r="A90" s="15"/>
      <c r="B90" s="19" t="s">
        <v>89</v>
      </c>
      <c r="C90" s="16"/>
      <c r="D90" s="16"/>
      <c r="E90" s="16"/>
      <c r="F90" s="16">
        <v>0</v>
      </c>
      <c r="G90" s="20">
        <v>0</v>
      </c>
      <c r="H90" s="20">
        <v>0</v>
      </c>
      <c r="I90" s="20">
        <v>0</v>
      </c>
      <c r="J90" s="26" t="s">
        <v>419</v>
      </c>
    </row>
    <row r="91" spans="1:10" ht="16.899999999999999" customHeight="1" x14ac:dyDescent="0.3">
      <c r="A91" s="15"/>
      <c r="B91" s="19" t="s">
        <v>90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6" t="s">
        <v>419</v>
      </c>
    </row>
    <row r="92" spans="1:10" ht="16.899999999999999" customHeight="1" x14ac:dyDescent="0.3">
      <c r="A92" s="15"/>
      <c r="B92" s="19" t="s">
        <v>91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6" t="s">
        <v>419</v>
      </c>
    </row>
    <row r="93" spans="1:10" ht="16.899999999999999" customHeight="1" x14ac:dyDescent="0.3">
      <c r="A93" s="15"/>
      <c r="B93" s="19" t="s">
        <v>56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</row>
    <row r="94" spans="1:10" ht="16.899999999999999" customHeight="1" x14ac:dyDescent="0.3">
      <c r="A94" s="15"/>
      <c r="B94" s="19" t="s">
        <v>92</v>
      </c>
      <c r="C94" s="16"/>
      <c r="D94" s="16"/>
      <c r="E94" s="16"/>
      <c r="F94" s="16">
        <v>1000</v>
      </c>
      <c r="G94" s="20">
        <v>1000</v>
      </c>
      <c r="H94" s="20">
        <v>1000</v>
      </c>
      <c r="I94" s="20">
        <v>0</v>
      </c>
      <c r="J94" s="26" t="s">
        <v>419</v>
      </c>
    </row>
    <row r="95" spans="1:10" ht="16.899999999999999" customHeight="1" x14ac:dyDescent="0.3">
      <c r="A95" s="15"/>
      <c r="B95" s="19" t="s">
        <v>93</v>
      </c>
      <c r="C95" s="20">
        <v>3000</v>
      </c>
      <c r="D95" s="20">
        <v>2000</v>
      </c>
      <c r="E95" s="20">
        <v>1000</v>
      </c>
      <c r="F95" s="20">
        <v>0</v>
      </c>
      <c r="G95" s="20">
        <v>0</v>
      </c>
      <c r="H95" s="20">
        <v>0</v>
      </c>
      <c r="I95" s="20">
        <v>0</v>
      </c>
      <c r="J95" s="26" t="s">
        <v>419</v>
      </c>
    </row>
    <row r="96" spans="1:10" ht="27.65" customHeight="1" x14ac:dyDescent="0.3">
      <c r="A96" s="15"/>
      <c r="B96" s="19" t="s">
        <v>94</v>
      </c>
      <c r="C96" s="16"/>
      <c r="D96" s="16"/>
      <c r="E96" s="16"/>
      <c r="F96" s="16">
        <v>2893000</v>
      </c>
      <c r="G96" s="20">
        <v>2043000</v>
      </c>
      <c r="H96" s="20">
        <v>19330000</v>
      </c>
      <c r="I96" s="20">
        <v>23165000</v>
      </c>
      <c r="J96" s="26" t="s">
        <v>419</v>
      </c>
    </row>
    <row r="97" spans="1:10" ht="16.899999999999999" customHeight="1" x14ac:dyDescent="0.3">
      <c r="A97" s="15"/>
      <c r="B97" s="15"/>
      <c r="C97" s="15"/>
      <c r="D97" s="15"/>
      <c r="E97" s="15"/>
      <c r="F97" s="15"/>
      <c r="G97" s="15"/>
      <c r="H97" s="15"/>
      <c r="I97" s="15"/>
    </row>
    <row r="98" spans="1:10" ht="16.899999999999999" customHeight="1" x14ac:dyDescent="0.3">
      <c r="A98" s="15"/>
      <c r="B98" s="19" t="s">
        <v>95</v>
      </c>
      <c r="C98" s="20">
        <v>111000</v>
      </c>
      <c r="D98" s="20">
        <v>510000</v>
      </c>
      <c r="E98" s="20">
        <v>283000</v>
      </c>
      <c r="F98" s="20">
        <v>2988000</v>
      </c>
      <c r="G98" s="20">
        <v>337000</v>
      </c>
      <c r="H98" s="20">
        <v>205000</v>
      </c>
      <c r="I98" s="21">
        <v>101000</v>
      </c>
    </row>
    <row r="99" spans="1:10" ht="16.899999999999999" customHeight="1" x14ac:dyDescent="0.3">
      <c r="A99" s="15"/>
      <c r="B99" s="19" t="s">
        <v>96</v>
      </c>
      <c r="C99" s="20">
        <v>101000</v>
      </c>
      <c r="D99" s="20">
        <v>499000</v>
      </c>
      <c r="E99" s="20">
        <v>271000</v>
      </c>
      <c r="F99" s="20">
        <v>2972000</v>
      </c>
      <c r="G99" s="20">
        <v>300000</v>
      </c>
      <c r="H99" s="20">
        <v>179000</v>
      </c>
      <c r="I99" s="20">
        <v>91000</v>
      </c>
      <c r="J99" s="26" t="s">
        <v>258</v>
      </c>
    </row>
    <row r="100" spans="1:10" ht="16.899999999999999" customHeight="1" x14ac:dyDescent="0.3">
      <c r="A100" s="15"/>
      <c r="B100" s="19" t="s">
        <v>97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6" t="s">
        <v>258</v>
      </c>
    </row>
    <row r="101" spans="1:10" ht="16.899999999999999" customHeight="1" x14ac:dyDescent="0.3">
      <c r="A101" s="15"/>
      <c r="B101" s="19" t="s">
        <v>98</v>
      </c>
      <c r="C101" s="20">
        <v>10000</v>
      </c>
      <c r="D101" s="20">
        <v>11000</v>
      </c>
      <c r="E101" s="20">
        <v>12000</v>
      </c>
      <c r="F101" s="20">
        <v>16000</v>
      </c>
      <c r="G101" s="20">
        <v>37000</v>
      </c>
      <c r="H101" s="20">
        <v>26000</v>
      </c>
      <c r="I101" s="20">
        <v>10000</v>
      </c>
      <c r="J101" s="26" t="s">
        <v>258</v>
      </c>
    </row>
    <row r="102" spans="1:10" ht="16.899999999999999" customHeight="1" x14ac:dyDescent="0.3">
      <c r="A102" s="15"/>
      <c r="B102" s="15"/>
      <c r="C102" s="15"/>
      <c r="D102" s="15"/>
      <c r="E102" s="15"/>
      <c r="F102" s="15"/>
      <c r="G102" s="15"/>
      <c r="H102" s="15"/>
      <c r="I102" s="15"/>
    </row>
    <row r="103" spans="1:10" ht="16.899999999999999" customHeight="1" x14ac:dyDescent="0.3">
      <c r="A103" s="15"/>
      <c r="B103" s="19" t="s">
        <v>99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6" t="s">
        <v>443</v>
      </c>
    </row>
    <row r="104" spans="1:10" ht="16.899999999999999" customHeight="1" x14ac:dyDescent="0.3">
      <c r="A104" s="15"/>
      <c r="B104" s="19" t="s">
        <v>100</v>
      </c>
      <c r="C104" s="20">
        <v>0</v>
      </c>
      <c r="D104" s="20">
        <v>0</v>
      </c>
      <c r="E104" s="20">
        <v>0</v>
      </c>
      <c r="F104" s="16">
        <v>0</v>
      </c>
      <c r="G104" s="16">
        <v>0</v>
      </c>
      <c r="H104" s="16">
        <v>0</v>
      </c>
      <c r="I104" s="16">
        <v>0</v>
      </c>
    </row>
    <row r="105" spans="1:10" ht="16.899999999999999" customHeight="1" x14ac:dyDescent="0.3">
      <c r="A105" s="15"/>
      <c r="B105" s="15"/>
      <c r="C105" s="15"/>
      <c r="D105" s="15"/>
      <c r="E105" s="15"/>
      <c r="F105" s="15"/>
      <c r="G105" s="15"/>
      <c r="H105" s="15"/>
      <c r="I105" s="15"/>
    </row>
    <row r="106" spans="1:10" ht="16.899999999999999" customHeight="1" x14ac:dyDescent="0.3">
      <c r="A106" s="15"/>
      <c r="B106" s="19" t="s">
        <v>101</v>
      </c>
      <c r="C106" s="20">
        <v>58483000</v>
      </c>
      <c r="D106" s="20">
        <v>68822000</v>
      </c>
      <c r="E106" s="20">
        <v>68825000</v>
      </c>
      <c r="F106" s="20">
        <v>73607000</v>
      </c>
      <c r="G106" s="20">
        <v>95306000</v>
      </c>
      <c r="H106" s="20">
        <v>114020000</v>
      </c>
      <c r="I106" s="20">
        <v>131377000</v>
      </c>
    </row>
    <row r="107" spans="1:10" ht="16.899999999999999" customHeight="1" x14ac:dyDescent="0.3">
      <c r="A107" s="15"/>
      <c r="B107" s="15"/>
      <c r="C107" s="15"/>
      <c r="D107" s="15"/>
      <c r="E107" s="15"/>
      <c r="F107" s="15"/>
      <c r="G107" s="15"/>
      <c r="H107" s="15"/>
      <c r="I107" s="15"/>
    </row>
    <row r="108" spans="1:10" ht="16.899999999999999" customHeight="1" x14ac:dyDescent="0.3">
      <c r="A108" s="17"/>
      <c r="B108" s="18" t="s">
        <v>102</v>
      </c>
      <c r="C108" s="17"/>
      <c r="D108" s="17"/>
      <c r="E108" s="17"/>
      <c r="F108" s="17"/>
      <c r="G108" s="17"/>
      <c r="H108" s="17"/>
      <c r="I108" s="17"/>
    </row>
    <row r="109" spans="1:10" ht="16.899999999999999" customHeight="1" x14ac:dyDescent="0.3">
      <c r="A109" s="15"/>
      <c r="B109" s="15"/>
      <c r="C109" s="15"/>
      <c r="D109" s="15"/>
      <c r="E109" s="15"/>
      <c r="F109" s="15"/>
      <c r="G109" s="15"/>
      <c r="H109" s="15"/>
      <c r="I109" s="15"/>
    </row>
    <row r="110" spans="1:10" ht="16.899999999999999" customHeight="1" x14ac:dyDescent="0.3">
      <c r="A110" s="22"/>
      <c r="B110" s="23" t="s">
        <v>103</v>
      </c>
      <c r="C110" s="22"/>
      <c r="D110" s="22"/>
      <c r="E110" s="22"/>
      <c r="F110" s="22"/>
      <c r="G110" s="22"/>
      <c r="H110" s="22"/>
      <c r="I110" s="22"/>
    </row>
    <row r="111" spans="1:10" ht="16.899999999999999" customHeight="1" x14ac:dyDescent="0.3">
      <c r="A111" s="15"/>
      <c r="B111" s="15"/>
      <c r="C111" s="15"/>
      <c r="D111" s="15"/>
      <c r="E111" s="15"/>
      <c r="F111" s="15"/>
      <c r="G111" s="15"/>
      <c r="H111" s="15"/>
      <c r="I111" s="15"/>
    </row>
    <row r="112" spans="1:10" ht="16.899999999999999" customHeight="1" x14ac:dyDescent="0.3">
      <c r="A112" s="15"/>
      <c r="B112" s="19" t="s">
        <v>104</v>
      </c>
      <c r="C112" s="20">
        <v>17007000</v>
      </c>
      <c r="D112" s="20">
        <v>19695000</v>
      </c>
      <c r="E112" s="20">
        <v>22872000</v>
      </c>
      <c r="F112" s="20">
        <v>24689000</v>
      </c>
      <c r="G112" s="20">
        <v>28757000</v>
      </c>
      <c r="H112" s="20">
        <v>32528000</v>
      </c>
      <c r="I112" s="20">
        <v>36461000</v>
      </c>
      <c r="J112" s="26" t="s">
        <v>444</v>
      </c>
    </row>
    <row r="113" spans="1:9" ht="16.899999999999999" customHeight="1" x14ac:dyDescent="0.3">
      <c r="A113" s="15"/>
      <c r="B113" s="19" t="s">
        <v>105</v>
      </c>
      <c r="C113" s="20">
        <v>700000</v>
      </c>
      <c r="D113" s="20">
        <v>700000</v>
      </c>
      <c r="E113" s="20">
        <v>700000</v>
      </c>
      <c r="F113" s="20">
        <v>700000</v>
      </c>
      <c r="G113" s="20">
        <v>700000</v>
      </c>
      <c r="H113" s="20">
        <v>700000</v>
      </c>
      <c r="I113" s="20">
        <v>700000</v>
      </c>
    </row>
    <row r="114" spans="1:9" ht="16.899999999999999" customHeight="1" x14ac:dyDescent="0.3">
      <c r="A114" s="15"/>
      <c r="B114" s="19" t="s">
        <v>106</v>
      </c>
      <c r="C114" s="16">
        <v>8291000</v>
      </c>
      <c r="D114" s="16">
        <v>8291000</v>
      </c>
      <c r="E114" s="16">
        <v>8291000</v>
      </c>
      <c r="F114" s="16"/>
      <c r="G114" s="16">
        <v>8291000</v>
      </c>
      <c r="H114" s="20">
        <v>8291000</v>
      </c>
      <c r="I114" s="20">
        <v>0</v>
      </c>
    </row>
    <row r="115" spans="1:9" ht="27.65" customHeight="1" x14ac:dyDescent="0.3">
      <c r="A115" s="15"/>
      <c r="B115" s="19" t="s">
        <v>107</v>
      </c>
      <c r="C115" s="16"/>
      <c r="D115" s="16"/>
      <c r="E115" s="16"/>
      <c r="F115" s="16"/>
      <c r="G115" s="16">
        <v>0</v>
      </c>
      <c r="H115" s="16">
        <v>0</v>
      </c>
      <c r="I115" s="16">
        <v>0</v>
      </c>
    </row>
    <row r="116" spans="1:9" ht="16.899999999999999" customHeight="1" x14ac:dyDescent="0.3">
      <c r="A116" s="15"/>
      <c r="B116" s="19" t="s">
        <v>108</v>
      </c>
      <c r="C116" s="16"/>
      <c r="D116" s="16"/>
      <c r="E116" s="16"/>
      <c r="F116" s="16"/>
      <c r="G116" s="16">
        <v>0</v>
      </c>
      <c r="H116" s="16">
        <v>0</v>
      </c>
      <c r="I116" s="16">
        <v>0</v>
      </c>
    </row>
    <row r="117" spans="1:9" ht="16.899999999999999" customHeight="1" x14ac:dyDescent="0.3">
      <c r="A117" s="15"/>
      <c r="B117" s="19" t="s">
        <v>109</v>
      </c>
      <c r="C117" s="16"/>
      <c r="D117" s="16"/>
      <c r="E117" s="16"/>
      <c r="F117" s="16"/>
      <c r="G117" s="16">
        <v>0</v>
      </c>
      <c r="H117" s="16">
        <v>0</v>
      </c>
      <c r="I117" s="16">
        <v>0</v>
      </c>
    </row>
    <row r="118" spans="1:9" ht="16.899999999999999" customHeight="1" x14ac:dyDescent="0.3">
      <c r="A118" s="15"/>
      <c r="B118" s="19" t="s">
        <v>110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</row>
    <row r="119" spans="1:9" ht="16.899999999999999" customHeight="1" x14ac:dyDescent="0.3">
      <c r="A119" s="15"/>
      <c r="B119" s="19" t="s">
        <v>111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</row>
    <row r="120" spans="1:9" ht="16.899999999999999" customHeight="1" x14ac:dyDescent="0.3">
      <c r="A120" s="15"/>
      <c r="B120" s="19" t="s">
        <v>112</v>
      </c>
      <c r="C120" s="20">
        <v>259000</v>
      </c>
      <c r="D120" s="20">
        <v>259000</v>
      </c>
      <c r="E120" s="20">
        <v>259000</v>
      </c>
      <c r="F120" s="20">
        <v>259000</v>
      </c>
      <c r="G120" s="20">
        <v>259000</v>
      </c>
      <c r="H120" s="20">
        <v>259000</v>
      </c>
      <c r="I120" s="20">
        <v>259000</v>
      </c>
    </row>
    <row r="121" spans="1:9" ht="16.899999999999999" customHeight="1" x14ac:dyDescent="0.3">
      <c r="A121" s="15"/>
      <c r="B121" s="19" t="s">
        <v>113</v>
      </c>
      <c r="C121" s="20">
        <v>0</v>
      </c>
      <c r="D121" s="20">
        <v>0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</row>
    <row r="122" spans="1:9" ht="16.899999999999999" customHeight="1" x14ac:dyDescent="0.3">
      <c r="A122" s="15"/>
      <c r="B122" s="19" t="s">
        <v>114</v>
      </c>
      <c r="C122" s="20">
        <v>0</v>
      </c>
      <c r="D122" s="20">
        <v>0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</row>
    <row r="123" spans="1:9" ht="16.899999999999999" customHeight="1" x14ac:dyDescent="0.3">
      <c r="A123" s="15"/>
      <c r="B123" s="19" t="s">
        <v>115</v>
      </c>
      <c r="C123" s="20">
        <v>14076000</v>
      </c>
      <c r="D123" s="20">
        <v>15938000</v>
      </c>
      <c r="E123" s="20">
        <v>18844000</v>
      </c>
      <c r="F123" s="20">
        <v>21690000</v>
      </c>
      <c r="G123" s="20">
        <v>23608000</v>
      </c>
      <c r="H123" s="20">
        <v>27585000</v>
      </c>
      <c r="I123" s="20">
        <v>31518000</v>
      </c>
    </row>
    <row r="124" spans="1:9" ht="16.899999999999999" customHeight="1" x14ac:dyDescent="0.3">
      <c r="A124" s="15"/>
      <c r="B124" s="19" t="s">
        <v>116</v>
      </c>
      <c r="C124" s="20"/>
      <c r="D124" s="20"/>
      <c r="E124" s="20"/>
      <c r="F124" s="20"/>
      <c r="G124" s="20"/>
      <c r="H124" s="20"/>
      <c r="I124" s="20"/>
    </row>
    <row r="125" spans="1:9" ht="27.65" customHeight="1" x14ac:dyDescent="0.3">
      <c r="A125" s="15"/>
      <c r="B125" s="19" t="s">
        <v>117</v>
      </c>
      <c r="C125" s="16"/>
      <c r="D125" s="16"/>
      <c r="E125" s="16"/>
      <c r="F125" s="16">
        <v>-2000</v>
      </c>
      <c r="G125" s="20">
        <v>1000</v>
      </c>
      <c r="H125" s="20">
        <v>0</v>
      </c>
      <c r="I125" s="20">
        <v>0</v>
      </c>
    </row>
    <row r="126" spans="1:9" ht="16.899999999999999" customHeight="1" x14ac:dyDescent="0.3">
      <c r="A126" s="15"/>
      <c r="B126" s="19" t="s">
        <v>118</v>
      </c>
      <c r="C126" s="20">
        <v>-481000</v>
      </c>
      <c r="D126" s="20">
        <v>0</v>
      </c>
      <c r="E126" s="20">
        <v>0</v>
      </c>
      <c r="F126" s="20">
        <v>193000</v>
      </c>
      <c r="G126" s="20">
        <v>193000</v>
      </c>
      <c r="H126" s="20">
        <v>193000</v>
      </c>
      <c r="I126" s="20">
        <v>0</v>
      </c>
    </row>
    <row r="127" spans="1:9" ht="16.899999999999999" customHeight="1" x14ac:dyDescent="0.3">
      <c r="A127" s="15"/>
      <c r="B127" s="19" t="s">
        <v>119</v>
      </c>
      <c r="C127" s="20">
        <v>2453000</v>
      </c>
      <c r="D127" s="20">
        <v>2798000</v>
      </c>
      <c r="E127" s="20">
        <v>3069000</v>
      </c>
      <c r="F127" s="20">
        <v>1849000</v>
      </c>
      <c r="G127" s="20">
        <v>3996000</v>
      </c>
      <c r="H127" s="20">
        <v>3791000</v>
      </c>
      <c r="I127" s="20">
        <v>3984000</v>
      </c>
    </row>
    <row r="128" spans="1:9" ht="16.899999999999999" customHeight="1" x14ac:dyDescent="0.3">
      <c r="A128" s="15"/>
      <c r="B128" s="19" t="s">
        <v>120</v>
      </c>
      <c r="C128" s="16"/>
      <c r="D128" s="16"/>
      <c r="E128" s="16"/>
      <c r="F128" s="16"/>
      <c r="G128" s="16">
        <v>0</v>
      </c>
      <c r="H128" s="16">
        <v>0</v>
      </c>
      <c r="I128" s="16">
        <v>0</v>
      </c>
    </row>
    <row r="129" spans="1:10" ht="16.899999999999999" customHeight="1" x14ac:dyDescent="0.3">
      <c r="A129" s="15"/>
      <c r="B129" s="19" t="s">
        <v>121</v>
      </c>
      <c r="C129" s="16"/>
      <c r="D129" s="16"/>
      <c r="E129" s="16"/>
      <c r="F129" s="16"/>
      <c r="G129" s="16">
        <v>0</v>
      </c>
      <c r="H129" s="16">
        <v>0</v>
      </c>
      <c r="I129" s="16">
        <v>0</v>
      </c>
    </row>
    <row r="130" spans="1:10" ht="27.65" customHeight="1" x14ac:dyDescent="0.3">
      <c r="A130" s="15"/>
      <c r="B130" s="19" t="s">
        <v>122</v>
      </c>
      <c r="C130" s="16"/>
      <c r="D130" s="16"/>
      <c r="E130" s="16"/>
      <c r="F130" s="16">
        <v>0</v>
      </c>
      <c r="G130" s="20">
        <v>0</v>
      </c>
      <c r="H130" s="20">
        <v>0</v>
      </c>
      <c r="I130" s="20">
        <v>0</v>
      </c>
    </row>
    <row r="131" spans="1:10" ht="16.899999999999999" customHeight="1" x14ac:dyDescent="0.3">
      <c r="A131" s="15"/>
      <c r="B131" s="19" t="s">
        <v>123</v>
      </c>
      <c r="C131" s="20"/>
      <c r="D131" s="20"/>
      <c r="E131" s="20"/>
      <c r="F131" s="20"/>
      <c r="G131" s="20"/>
      <c r="H131" s="20"/>
      <c r="I131" s="20"/>
    </row>
    <row r="132" spans="1:10" ht="16.899999999999999" customHeight="1" x14ac:dyDescent="0.3">
      <c r="A132" s="15"/>
      <c r="B132" s="19" t="s">
        <v>124</v>
      </c>
      <c r="C132" s="20"/>
      <c r="D132" s="20"/>
      <c r="E132" s="20"/>
      <c r="F132" s="20"/>
      <c r="G132" s="20"/>
      <c r="H132" s="20"/>
      <c r="I132" s="20"/>
    </row>
    <row r="133" spans="1:10" ht="16.899999999999999" customHeight="1" x14ac:dyDescent="0.3">
      <c r="A133" s="15"/>
      <c r="B133" s="19" t="s">
        <v>125</v>
      </c>
      <c r="C133" s="20">
        <v>17000</v>
      </c>
      <c r="D133" s="20">
        <v>17000</v>
      </c>
      <c r="E133" s="20">
        <v>17000</v>
      </c>
      <c r="F133" s="20"/>
      <c r="G133" s="16">
        <v>17000</v>
      </c>
      <c r="H133" s="20">
        <v>17000</v>
      </c>
      <c r="I133" s="20">
        <v>17000</v>
      </c>
    </row>
    <row r="134" spans="1:10" ht="16.899999999999999" customHeight="1" x14ac:dyDescent="0.3">
      <c r="A134" s="15"/>
      <c r="B134" s="19" t="s">
        <v>126</v>
      </c>
      <c r="C134" s="20"/>
      <c r="D134" s="20"/>
      <c r="E134" s="20"/>
      <c r="F134" s="20"/>
      <c r="G134" s="20"/>
      <c r="H134" s="20"/>
      <c r="I134" s="20"/>
    </row>
    <row r="135" spans="1:10" ht="16.899999999999999" customHeight="1" x14ac:dyDescent="0.3">
      <c r="A135" s="15"/>
      <c r="B135" s="19" t="s">
        <v>127</v>
      </c>
      <c r="C135" s="20"/>
      <c r="D135" s="20"/>
      <c r="E135" s="20"/>
      <c r="F135" s="20"/>
      <c r="G135" s="20"/>
      <c r="H135" s="20"/>
      <c r="I135" s="20"/>
    </row>
    <row r="136" spans="1:10" ht="16.899999999999999" customHeight="1" x14ac:dyDescent="0.3">
      <c r="A136" s="15"/>
      <c r="B136" s="15"/>
      <c r="C136" s="15"/>
      <c r="D136" s="15"/>
      <c r="E136" s="15"/>
      <c r="F136" s="15"/>
      <c r="G136" s="15"/>
      <c r="H136" s="15"/>
      <c r="I136" s="15"/>
    </row>
    <row r="137" spans="1:10" ht="16.899999999999999" customHeight="1" x14ac:dyDescent="0.3">
      <c r="A137" s="15"/>
      <c r="B137" s="19" t="s">
        <v>128</v>
      </c>
      <c r="C137" s="20">
        <v>1511000</v>
      </c>
      <c r="D137" s="20">
        <v>1964000</v>
      </c>
      <c r="E137" s="20">
        <v>17000</v>
      </c>
      <c r="F137" s="20">
        <v>21000</v>
      </c>
      <c r="G137" s="20">
        <v>18000</v>
      </c>
      <c r="H137" s="20">
        <v>18000</v>
      </c>
      <c r="I137" s="20">
        <v>17000</v>
      </c>
    </row>
    <row r="138" spans="1:10" ht="16.899999999999999" customHeight="1" x14ac:dyDescent="0.3">
      <c r="A138" s="15"/>
      <c r="B138" s="19" t="s">
        <v>129</v>
      </c>
      <c r="C138" s="20">
        <v>0</v>
      </c>
      <c r="D138" s="20">
        <v>0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6" t="s">
        <v>416</v>
      </c>
    </row>
    <row r="139" spans="1:10" ht="16.899999999999999" customHeight="1" x14ac:dyDescent="0.3">
      <c r="A139" s="15"/>
      <c r="B139" s="19" t="s">
        <v>130</v>
      </c>
      <c r="C139" s="20">
        <v>17000</v>
      </c>
      <c r="D139" s="20">
        <v>17000</v>
      </c>
      <c r="E139" s="20">
        <v>17000</v>
      </c>
      <c r="F139" s="20">
        <v>17000</v>
      </c>
      <c r="G139" s="20">
        <v>17000</v>
      </c>
      <c r="H139" s="20">
        <v>17000</v>
      </c>
      <c r="I139" s="20">
        <v>17000</v>
      </c>
      <c r="J139" s="26" t="s">
        <v>416</v>
      </c>
    </row>
    <row r="140" spans="1:10" ht="16.899999999999999" customHeight="1" x14ac:dyDescent="0.3">
      <c r="A140" s="15"/>
      <c r="B140" s="19" t="s">
        <v>131</v>
      </c>
      <c r="C140" s="16"/>
      <c r="D140" s="16"/>
      <c r="E140" s="16"/>
      <c r="F140" s="16">
        <v>4000</v>
      </c>
      <c r="G140" s="20">
        <v>1000</v>
      </c>
      <c r="H140" s="20">
        <v>1000</v>
      </c>
      <c r="I140" s="20">
        <v>0</v>
      </c>
      <c r="J140" s="26" t="s">
        <v>416</v>
      </c>
    </row>
    <row r="141" spans="1:10" ht="16.899999999999999" customHeight="1" x14ac:dyDescent="0.3">
      <c r="A141" s="15"/>
      <c r="B141" s="19" t="s">
        <v>132</v>
      </c>
      <c r="C141" s="20">
        <v>1494000</v>
      </c>
      <c r="D141" s="20">
        <v>1947000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6" t="s">
        <v>416</v>
      </c>
    </row>
    <row r="142" spans="1:10" ht="16.899999999999999" customHeight="1" x14ac:dyDescent="0.3">
      <c r="A142" s="15"/>
      <c r="B142" s="19" t="s">
        <v>133</v>
      </c>
      <c r="C142" s="20"/>
      <c r="D142" s="20"/>
      <c r="E142" s="20"/>
      <c r="F142" s="20"/>
      <c r="G142" s="20"/>
      <c r="H142" s="20"/>
      <c r="I142" s="20"/>
    </row>
    <row r="143" spans="1:10" ht="16.899999999999999" customHeight="1" x14ac:dyDescent="0.3">
      <c r="A143" s="15"/>
      <c r="B143" s="15"/>
      <c r="C143" s="15"/>
      <c r="D143" s="15"/>
      <c r="E143" s="15"/>
      <c r="F143" s="15"/>
      <c r="G143" s="15"/>
      <c r="H143" s="15"/>
      <c r="I143" s="15"/>
    </row>
    <row r="144" spans="1:10" ht="16.899999999999999" customHeight="1" x14ac:dyDescent="0.3">
      <c r="A144" s="15"/>
      <c r="B144" s="19" t="s">
        <v>134</v>
      </c>
      <c r="C144" s="20">
        <v>905000</v>
      </c>
      <c r="D144" s="20">
        <v>1064000</v>
      </c>
      <c r="E144" s="20">
        <v>1042000</v>
      </c>
      <c r="F144" s="20">
        <v>1079000</v>
      </c>
      <c r="G144" s="20">
        <v>1152000</v>
      </c>
      <c r="H144" s="20">
        <v>1082000</v>
      </c>
      <c r="I144" s="20">
        <v>1310000</v>
      </c>
      <c r="J144" s="26" t="s">
        <v>259</v>
      </c>
    </row>
    <row r="145" spans="1:10" ht="16.899999999999999" customHeight="1" x14ac:dyDescent="0.3">
      <c r="A145" s="15"/>
      <c r="B145" s="15"/>
      <c r="C145" s="15"/>
      <c r="D145" s="15"/>
      <c r="E145" s="15"/>
      <c r="F145" s="15"/>
      <c r="G145" s="15"/>
      <c r="H145" s="15"/>
      <c r="I145" s="15"/>
    </row>
    <row r="146" spans="1:10" ht="16.899999999999999" customHeight="1" x14ac:dyDescent="0.3">
      <c r="A146" s="22"/>
      <c r="B146" s="23" t="s">
        <v>135</v>
      </c>
      <c r="C146" s="22"/>
      <c r="D146" s="22"/>
      <c r="E146" s="22"/>
      <c r="F146" s="22"/>
      <c r="G146" s="22"/>
      <c r="H146" s="22"/>
      <c r="I146" s="22"/>
    </row>
    <row r="147" spans="1:10" ht="16.899999999999999" customHeight="1" x14ac:dyDescent="0.3">
      <c r="A147" s="15"/>
      <c r="B147" s="15"/>
      <c r="C147" s="15"/>
      <c r="D147" s="15"/>
      <c r="E147" s="15"/>
      <c r="F147" s="15"/>
      <c r="G147" s="15"/>
      <c r="H147" s="15"/>
      <c r="I147" s="15"/>
    </row>
    <row r="148" spans="1:10" ht="16.899999999999999" customHeight="1" x14ac:dyDescent="0.3">
      <c r="A148" s="15"/>
      <c r="B148" s="19" t="s">
        <v>136</v>
      </c>
      <c r="C148" s="20">
        <v>39060000</v>
      </c>
      <c r="D148" s="20">
        <v>46099000</v>
      </c>
      <c r="E148" s="20">
        <v>44894000</v>
      </c>
      <c r="F148" s="20">
        <v>47818000</v>
      </c>
      <c r="G148" s="20">
        <v>65379000</v>
      </c>
      <c r="H148" s="20">
        <v>80392000</v>
      </c>
      <c r="I148" s="20">
        <v>93589000</v>
      </c>
    </row>
    <row r="149" spans="1:10" ht="16.899999999999999" customHeight="1" x14ac:dyDescent="0.3">
      <c r="A149" s="15"/>
      <c r="B149" s="19" t="s">
        <v>137</v>
      </c>
      <c r="C149" s="20">
        <v>0</v>
      </c>
      <c r="D149" s="20">
        <v>0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6" t="s">
        <v>417</v>
      </c>
    </row>
    <row r="150" spans="1:10" ht="16.899999999999999" customHeight="1" x14ac:dyDescent="0.3">
      <c r="A150" s="15"/>
      <c r="B150" s="19" t="s">
        <v>138</v>
      </c>
      <c r="C150" s="20">
        <v>0</v>
      </c>
      <c r="D150" s="20">
        <v>0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6" t="s">
        <v>417</v>
      </c>
    </row>
    <row r="151" spans="1:10" ht="16.899999999999999" customHeight="1" x14ac:dyDescent="0.3">
      <c r="A151" s="15"/>
      <c r="B151" s="19" t="s">
        <v>139</v>
      </c>
      <c r="C151" s="20">
        <v>0</v>
      </c>
      <c r="D151" s="20">
        <v>0</v>
      </c>
      <c r="E151" s="20">
        <v>0</v>
      </c>
      <c r="F151" s="20">
        <v>0</v>
      </c>
      <c r="G151" s="20">
        <v>0</v>
      </c>
      <c r="H151" s="20">
        <v>0</v>
      </c>
      <c r="I151" s="20">
        <v>0</v>
      </c>
      <c r="J151" s="26" t="s">
        <v>417</v>
      </c>
    </row>
    <row r="152" spans="1:10" ht="16.899999999999999" customHeight="1" x14ac:dyDescent="0.3">
      <c r="A152" s="15"/>
      <c r="B152" s="19" t="s">
        <v>140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6" t="s">
        <v>417</v>
      </c>
    </row>
    <row r="153" spans="1:10" ht="16.899999999999999" customHeight="1" x14ac:dyDescent="0.3">
      <c r="A153" s="15"/>
      <c r="B153" s="19" t="s">
        <v>141</v>
      </c>
      <c r="C153" s="20">
        <v>0</v>
      </c>
      <c r="D153" s="20">
        <v>0</v>
      </c>
      <c r="E153" s="20">
        <v>0</v>
      </c>
      <c r="F153" s="20">
        <v>0</v>
      </c>
      <c r="G153" s="20">
        <v>0</v>
      </c>
      <c r="H153" s="20">
        <v>0</v>
      </c>
      <c r="I153" s="20">
        <v>0</v>
      </c>
      <c r="J153" s="26" t="s">
        <v>418</v>
      </c>
    </row>
    <row r="154" spans="1:10" ht="16.899999999999999" customHeight="1" x14ac:dyDescent="0.3">
      <c r="A154" s="15"/>
      <c r="B154" s="19" t="s">
        <v>142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6" t="s">
        <v>418</v>
      </c>
    </row>
    <row r="155" spans="1:10" ht="16.899999999999999" customHeight="1" x14ac:dyDescent="0.3">
      <c r="A155" s="15"/>
      <c r="B155" s="19" t="s">
        <v>143</v>
      </c>
      <c r="C155" s="20">
        <v>1800000</v>
      </c>
      <c r="D155" s="20">
        <v>1800000</v>
      </c>
      <c r="E155" s="20">
        <v>3544000</v>
      </c>
      <c r="F155" s="20">
        <v>1094000</v>
      </c>
      <c r="G155" s="20">
        <v>0</v>
      </c>
      <c r="H155" s="20">
        <v>0</v>
      </c>
      <c r="I155" s="20">
        <v>0</v>
      </c>
      <c r="J155" s="26" t="s">
        <v>417</v>
      </c>
    </row>
    <row r="156" spans="1:10" ht="16.899999999999999" customHeight="1" x14ac:dyDescent="0.3">
      <c r="A156" s="15"/>
      <c r="B156" s="19" t="s">
        <v>144</v>
      </c>
      <c r="C156" s="20">
        <v>4837000</v>
      </c>
      <c r="D156" s="20">
        <v>4637000</v>
      </c>
      <c r="E156" s="20">
        <v>1094000</v>
      </c>
      <c r="F156" s="20">
        <v>0</v>
      </c>
      <c r="G156" s="20">
        <v>0</v>
      </c>
      <c r="H156" s="20">
        <v>0</v>
      </c>
      <c r="I156" s="20">
        <v>0</v>
      </c>
      <c r="J156" s="26" t="s">
        <v>417</v>
      </c>
    </row>
    <row r="157" spans="1:10" ht="16.899999999999999" customHeight="1" x14ac:dyDescent="0.3">
      <c r="A157" s="15"/>
      <c r="B157" s="19" t="s">
        <v>145</v>
      </c>
      <c r="C157" s="20">
        <v>3560000</v>
      </c>
      <c r="D157" s="20">
        <v>3786000</v>
      </c>
      <c r="E157" s="20">
        <v>3952000</v>
      </c>
      <c r="F157" s="20">
        <v>5227000</v>
      </c>
      <c r="G157" s="20">
        <v>5390000</v>
      </c>
      <c r="H157" s="20">
        <v>5099000</v>
      </c>
      <c r="I157" s="20">
        <v>4090000</v>
      </c>
      <c r="J157" s="26" t="s">
        <v>417</v>
      </c>
    </row>
    <row r="158" spans="1:10" ht="16.899999999999999" customHeight="1" x14ac:dyDescent="0.3">
      <c r="A158" s="15"/>
      <c r="B158" s="19" t="s">
        <v>146</v>
      </c>
      <c r="C158" s="20">
        <v>8529000</v>
      </c>
      <c r="D158" s="20">
        <v>13200000</v>
      </c>
      <c r="E158" s="20">
        <v>12644000</v>
      </c>
      <c r="F158" s="20">
        <v>19751000</v>
      </c>
      <c r="G158" s="20">
        <v>18189000</v>
      </c>
      <c r="H158" s="20">
        <v>13090000</v>
      </c>
      <c r="I158" s="20">
        <v>9916000</v>
      </c>
      <c r="J158" s="26" t="s">
        <v>417</v>
      </c>
    </row>
    <row r="159" spans="1:10" ht="16.899999999999999" customHeight="1" x14ac:dyDescent="0.3">
      <c r="A159" s="15"/>
      <c r="B159" s="19" t="s">
        <v>147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1">
        <v>0</v>
      </c>
      <c r="J159" s="26" t="s">
        <v>441</v>
      </c>
    </row>
    <row r="160" spans="1:10" ht="16.899999999999999" customHeight="1" x14ac:dyDescent="0.3">
      <c r="A160" s="15"/>
      <c r="B160" s="19" t="s">
        <v>148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1">
        <v>0</v>
      </c>
      <c r="J160" s="26" t="s">
        <v>441</v>
      </c>
    </row>
    <row r="161" spans="1:10" ht="16.899999999999999" customHeight="1" x14ac:dyDescent="0.3">
      <c r="A161" s="15"/>
      <c r="B161" s="19" t="s">
        <v>149</v>
      </c>
      <c r="C161" s="20">
        <v>7533000</v>
      </c>
      <c r="D161" s="20">
        <v>6085000</v>
      </c>
      <c r="E161" s="20">
        <v>5865000</v>
      </c>
      <c r="F161" s="20">
        <v>6388000</v>
      </c>
      <c r="G161" s="20">
        <v>6003000</v>
      </c>
      <c r="H161" s="20">
        <v>7598000</v>
      </c>
      <c r="I161" s="21">
        <v>6246000</v>
      </c>
      <c r="J161" s="26" t="s">
        <v>442</v>
      </c>
    </row>
    <row r="162" spans="1:10" ht="16.899999999999999" customHeight="1" x14ac:dyDescent="0.3">
      <c r="A162" s="15"/>
      <c r="B162" s="19" t="s">
        <v>150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1">
        <v>0</v>
      </c>
      <c r="J162" s="26" t="s">
        <v>442</v>
      </c>
    </row>
    <row r="163" spans="1:10" ht="16.899999999999999" customHeight="1" x14ac:dyDescent="0.3">
      <c r="A163" s="15"/>
      <c r="B163" s="19" t="s">
        <v>151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1">
        <v>0</v>
      </c>
      <c r="J163" s="26" t="s">
        <v>442</v>
      </c>
    </row>
    <row r="164" spans="1:10" ht="16.899999999999999" customHeight="1" x14ac:dyDescent="0.3">
      <c r="A164" s="15"/>
      <c r="B164" s="19" t="s">
        <v>152</v>
      </c>
      <c r="C164" s="20">
        <v>0</v>
      </c>
      <c r="D164" s="20">
        <v>0</v>
      </c>
      <c r="E164" s="20">
        <v>0</v>
      </c>
      <c r="F164" s="20">
        <v>0</v>
      </c>
      <c r="G164" s="20">
        <v>0</v>
      </c>
      <c r="H164" s="20">
        <v>0</v>
      </c>
      <c r="I164" s="21">
        <v>0</v>
      </c>
      <c r="J164" s="26" t="s">
        <v>442</v>
      </c>
    </row>
    <row r="165" spans="1:10" ht="16.899999999999999" customHeight="1" x14ac:dyDescent="0.3">
      <c r="A165" s="15"/>
      <c r="B165" s="19" t="s">
        <v>153</v>
      </c>
      <c r="C165" s="20">
        <v>0</v>
      </c>
      <c r="D165" s="20">
        <v>0</v>
      </c>
      <c r="E165" s="20">
        <v>0</v>
      </c>
      <c r="F165" s="20">
        <v>0</v>
      </c>
      <c r="G165" s="20">
        <v>0</v>
      </c>
      <c r="H165" s="20">
        <v>0</v>
      </c>
      <c r="I165" s="21">
        <v>0</v>
      </c>
      <c r="J165" s="26" t="s">
        <v>257</v>
      </c>
    </row>
    <row r="166" spans="1:10" ht="16.899999999999999" customHeight="1" x14ac:dyDescent="0.3">
      <c r="A166" s="15"/>
      <c r="B166" s="19" t="s">
        <v>154</v>
      </c>
      <c r="C166" s="20">
        <v>0</v>
      </c>
      <c r="D166" s="20">
        <v>0</v>
      </c>
      <c r="E166" s="20">
        <v>0</v>
      </c>
      <c r="F166" s="20">
        <v>0</v>
      </c>
      <c r="G166" s="20">
        <v>0</v>
      </c>
      <c r="H166" s="20">
        <v>0</v>
      </c>
      <c r="I166" s="21">
        <v>0</v>
      </c>
      <c r="J166" s="26" t="s">
        <v>257</v>
      </c>
    </row>
    <row r="167" spans="1:10" ht="16.899999999999999" customHeight="1" x14ac:dyDescent="0.3">
      <c r="A167" s="15"/>
      <c r="B167" s="19" t="s">
        <v>155</v>
      </c>
      <c r="C167" s="20">
        <v>2122000</v>
      </c>
      <c r="D167" s="20">
        <v>1756000</v>
      </c>
      <c r="E167" s="20">
        <v>1068000</v>
      </c>
      <c r="F167" s="20">
        <v>530000</v>
      </c>
      <c r="G167" s="20">
        <v>132000</v>
      </c>
      <c r="H167" s="20">
        <v>404000</v>
      </c>
      <c r="I167" s="21">
        <v>40000</v>
      </c>
      <c r="J167" s="26" t="s">
        <v>257</v>
      </c>
    </row>
    <row r="168" spans="1:10" ht="16.899999999999999" customHeight="1" x14ac:dyDescent="0.3">
      <c r="A168" s="15"/>
      <c r="B168" s="19" t="s">
        <v>156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0</v>
      </c>
      <c r="I168" s="21">
        <v>0</v>
      </c>
      <c r="J168" s="26" t="s">
        <v>257</v>
      </c>
    </row>
    <row r="169" spans="1:10" ht="16.899999999999999" customHeight="1" x14ac:dyDescent="0.3">
      <c r="A169" s="15"/>
      <c r="B169" s="19" t="s">
        <v>157</v>
      </c>
      <c r="C169" s="20">
        <v>8755000</v>
      </c>
      <c r="D169" s="20">
        <v>48000</v>
      </c>
      <c r="E169" s="20">
        <v>2900000</v>
      </c>
      <c r="F169" s="20">
        <v>3170000</v>
      </c>
      <c r="G169" s="20">
        <v>111000</v>
      </c>
      <c r="H169" s="20">
        <v>120000</v>
      </c>
      <c r="I169" s="21">
        <v>9004000</v>
      </c>
      <c r="J169" s="26" t="s">
        <v>418</v>
      </c>
    </row>
    <row r="170" spans="1:10" ht="16.899999999999999" customHeight="1" x14ac:dyDescent="0.3">
      <c r="A170" s="15"/>
      <c r="B170" s="19" t="s">
        <v>158</v>
      </c>
      <c r="C170" s="20">
        <v>0</v>
      </c>
      <c r="D170" s="20">
        <v>13000000</v>
      </c>
      <c r="E170" s="20">
        <v>10183000</v>
      </c>
      <c r="F170" s="20">
        <v>8541000</v>
      </c>
      <c r="G170" s="20">
        <v>30094000</v>
      </c>
      <c r="H170" s="20">
        <v>50095000</v>
      </c>
      <c r="I170" s="21">
        <v>59809000</v>
      </c>
      <c r="J170" s="26" t="s">
        <v>418</v>
      </c>
    </row>
    <row r="171" spans="1:10" ht="27.65" customHeight="1" x14ac:dyDescent="0.3">
      <c r="A171" s="15"/>
      <c r="B171" s="19" t="s">
        <v>159</v>
      </c>
      <c r="C171" s="16"/>
      <c r="D171" s="16"/>
      <c r="E171" s="16"/>
      <c r="F171" s="16">
        <v>0</v>
      </c>
      <c r="G171" s="20">
        <v>0</v>
      </c>
      <c r="H171" s="20">
        <v>0</v>
      </c>
      <c r="I171" s="21">
        <v>0</v>
      </c>
      <c r="J171" s="26" t="s">
        <v>257</v>
      </c>
    </row>
    <row r="172" spans="1:10" ht="27.65" customHeight="1" x14ac:dyDescent="0.3">
      <c r="A172" s="15"/>
      <c r="B172" s="19" t="s">
        <v>160</v>
      </c>
      <c r="C172" s="16"/>
      <c r="D172" s="16"/>
      <c r="E172" s="16"/>
      <c r="F172" s="16">
        <v>0</v>
      </c>
      <c r="G172" s="20">
        <v>0</v>
      </c>
      <c r="H172" s="20">
        <v>0</v>
      </c>
      <c r="I172" s="21">
        <v>0</v>
      </c>
      <c r="J172" s="26" t="s">
        <v>257</v>
      </c>
    </row>
    <row r="173" spans="1:10" ht="16.899999999999999" customHeight="1" x14ac:dyDescent="0.3">
      <c r="A173" s="15"/>
      <c r="B173" s="19" t="s">
        <v>161</v>
      </c>
      <c r="C173" s="20">
        <v>787000</v>
      </c>
      <c r="D173" s="20">
        <v>553000</v>
      </c>
      <c r="E173" s="20">
        <v>170000</v>
      </c>
      <c r="F173" s="20">
        <v>203000</v>
      </c>
      <c r="G173" s="20">
        <v>263000</v>
      </c>
      <c r="H173" s="20">
        <v>290000</v>
      </c>
      <c r="I173" s="20">
        <v>272000</v>
      </c>
      <c r="J173" s="26" t="s">
        <v>443</v>
      </c>
    </row>
    <row r="174" spans="1:10" ht="16.899999999999999" customHeight="1" x14ac:dyDescent="0.3">
      <c r="A174" s="15"/>
      <c r="B174" s="19" t="s">
        <v>162</v>
      </c>
      <c r="C174" s="20">
        <v>0</v>
      </c>
      <c r="D174" s="20">
        <v>0</v>
      </c>
      <c r="E174" s="20">
        <v>0</v>
      </c>
      <c r="F174" s="20">
        <v>0</v>
      </c>
      <c r="G174" s="20">
        <v>0</v>
      </c>
      <c r="H174" s="20">
        <v>0</v>
      </c>
      <c r="I174" s="20">
        <v>0</v>
      </c>
      <c r="J174" s="26" t="s">
        <v>443</v>
      </c>
    </row>
    <row r="175" spans="1:10" ht="16.899999999999999" customHeight="1" x14ac:dyDescent="0.3">
      <c r="A175" s="15"/>
      <c r="B175" s="19" t="s">
        <v>163</v>
      </c>
      <c r="C175" s="20">
        <v>318000</v>
      </c>
      <c r="D175" s="20">
        <v>311000</v>
      </c>
      <c r="E175" s="20">
        <v>272000</v>
      </c>
      <c r="F175" s="20">
        <v>265000</v>
      </c>
      <c r="G175" s="20">
        <v>314000</v>
      </c>
      <c r="H175" s="20">
        <v>314000</v>
      </c>
      <c r="I175" s="20">
        <v>357000</v>
      </c>
      <c r="J175" s="26" t="s">
        <v>443</v>
      </c>
    </row>
    <row r="176" spans="1:10" ht="16.899999999999999" customHeight="1" x14ac:dyDescent="0.3">
      <c r="A176" s="15"/>
      <c r="B176" s="19" t="s">
        <v>164</v>
      </c>
      <c r="C176" s="20">
        <v>0</v>
      </c>
      <c r="D176" s="20">
        <v>0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6" t="s">
        <v>443</v>
      </c>
    </row>
    <row r="177" spans="1:10" ht="16.899999999999999" customHeight="1" x14ac:dyDescent="0.3">
      <c r="A177" s="15"/>
      <c r="B177" s="19" t="s">
        <v>165</v>
      </c>
      <c r="C177" s="20">
        <v>819000</v>
      </c>
      <c r="D177" s="20">
        <v>923000</v>
      </c>
      <c r="E177" s="20">
        <v>3202000</v>
      </c>
      <c r="F177" s="20">
        <v>2649000</v>
      </c>
      <c r="G177" s="20">
        <v>4883000</v>
      </c>
      <c r="H177" s="20">
        <v>3382000</v>
      </c>
      <c r="I177" s="20">
        <v>3855000</v>
      </c>
      <c r="J177" s="26" t="s">
        <v>443</v>
      </c>
    </row>
    <row r="178" spans="1:10" ht="16.899999999999999" customHeight="1" x14ac:dyDescent="0.3">
      <c r="A178" s="15"/>
      <c r="B178" s="19" t="s">
        <v>166</v>
      </c>
      <c r="C178" s="20">
        <v>0</v>
      </c>
      <c r="D178" s="20">
        <v>0</v>
      </c>
      <c r="E178" s="20">
        <v>0</v>
      </c>
      <c r="F178" s="20">
        <v>0</v>
      </c>
      <c r="G178" s="20">
        <v>0</v>
      </c>
      <c r="H178" s="20">
        <v>0</v>
      </c>
      <c r="I178" s="20">
        <v>0</v>
      </c>
      <c r="J178" s="26" t="s">
        <v>443</v>
      </c>
    </row>
    <row r="179" spans="1:10" ht="16.899999999999999" customHeight="1" x14ac:dyDescent="0.3">
      <c r="A179" s="15"/>
      <c r="B179" s="19" t="s">
        <v>167</v>
      </c>
      <c r="C179" s="20">
        <v>25694000</v>
      </c>
      <c r="D179" s="20">
        <v>15262000</v>
      </c>
      <c r="E179" s="20">
        <v>20973000</v>
      </c>
      <c r="F179" s="20">
        <v>19526000</v>
      </c>
      <c r="G179" s="20">
        <v>17096000</v>
      </c>
      <c r="H179" s="20">
        <v>17207000</v>
      </c>
      <c r="I179" s="20">
        <v>23864000</v>
      </c>
    </row>
    <row r="180" spans="1:10" ht="16.899999999999999" customHeight="1" x14ac:dyDescent="0.3">
      <c r="A180" s="15"/>
      <c r="B180" s="19" t="s">
        <v>168</v>
      </c>
      <c r="C180" s="20">
        <v>13366000</v>
      </c>
      <c r="D180" s="20">
        <v>30837000</v>
      </c>
      <c r="E180" s="20">
        <v>23921000</v>
      </c>
      <c r="F180" s="20">
        <v>28292000</v>
      </c>
      <c r="G180" s="20">
        <v>48283000</v>
      </c>
      <c r="H180" s="20">
        <v>63185000</v>
      </c>
      <c r="I180" s="20">
        <v>69725000</v>
      </c>
    </row>
    <row r="181" spans="1:10" ht="16.899999999999999" customHeight="1" x14ac:dyDescent="0.3">
      <c r="A181" s="15"/>
      <c r="B181" s="15"/>
      <c r="C181" s="15"/>
      <c r="D181" s="15"/>
      <c r="E181" s="15"/>
      <c r="F181" s="15"/>
      <c r="G181" s="15"/>
      <c r="H181" s="15"/>
      <c r="I181" s="15"/>
    </row>
    <row r="182" spans="1:10" ht="16.899999999999999" customHeight="1" x14ac:dyDescent="0.3">
      <c r="A182" s="15"/>
      <c r="B182" s="19" t="s">
        <v>169</v>
      </c>
      <c r="C182" s="20">
        <v>25694000</v>
      </c>
      <c r="D182" s="20">
        <v>15262000</v>
      </c>
      <c r="E182" s="20">
        <v>20973000</v>
      </c>
      <c r="F182" s="20">
        <v>19526000</v>
      </c>
      <c r="G182" s="20">
        <v>17096000</v>
      </c>
      <c r="H182" s="20">
        <v>17207000</v>
      </c>
      <c r="I182" s="20">
        <v>23864000</v>
      </c>
    </row>
    <row r="183" spans="1:10" ht="16.899999999999999" customHeight="1" x14ac:dyDescent="0.3">
      <c r="A183" s="15"/>
      <c r="B183" s="19" t="s">
        <v>170</v>
      </c>
      <c r="C183" s="20">
        <v>13366000</v>
      </c>
      <c r="D183" s="20">
        <v>30837000</v>
      </c>
      <c r="E183" s="20">
        <v>23921000</v>
      </c>
      <c r="F183" s="20">
        <v>28292000</v>
      </c>
      <c r="G183" s="20">
        <v>48283000</v>
      </c>
      <c r="H183" s="20">
        <v>63185000</v>
      </c>
      <c r="I183" s="20">
        <v>69725000</v>
      </c>
    </row>
    <row r="184" spans="1:10" ht="16.899999999999999" customHeight="1" x14ac:dyDescent="0.3">
      <c r="A184" s="15"/>
      <c r="B184" s="15"/>
      <c r="C184" s="15"/>
      <c r="D184" s="15"/>
      <c r="E184" s="15"/>
      <c r="F184" s="15"/>
      <c r="G184" s="15"/>
      <c r="H184" s="15"/>
      <c r="I184" s="15"/>
    </row>
    <row r="185" spans="1:10" ht="16.899999999999999" customHeight="1" x14ac:dyDescent="0.3">
      <c r="A185" s="15"/>
      <c r="B185" s="19" t="s">
        <v>171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6" t="s">
        <v>443</v>
      </c>
    </row>
    <row r="186" spans="1:10" ht="16.899999999999999" customHeight="1" x14ac:dyDescent="0.3">
      <c r="A186" s="15"/>
      <c r="B186" s="19" t="s">
        <v>172</v>
      </c>
      <c r="C186" s="16">
        <v>0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</row>
    <row r="187" spans="1:10" ht="16.899999999999999" customHeight="1" x14ac:dyDescent="0.3">
      <c r="A187" s="15"/>
      <c r="B187" s="15"/>
      <c r="C187" s="15"/>
      <c r="D187" s="15"/>
      <c r="E187" s="15"/>
      <c r="F187" s="15"/>
      <c r="G187" s="15"/>
      <c r="H187" s="15"/>
      <c r="I187" s="15"/>
    </row>
    <row r="188" spans="1:10" ht="16.899999999999999" customHeight="1" x14ac:dyDescent="0.3">
      <c r="A188" s="15"/>
      <c r="B188" s="19" t="s">
        <v>173</v>
      </c>
      <c r="C188" s="20">
        <v>58483000</v>
      </c>
      <c r="D188" s="20">
        <v>68822000</v>
      </c>
      <c r="E188" s="20">
        <v>68825000</v>
      </c>
      <c r="F188" s="20">
        <v>73607000</v>
      </c>
      <c r="G188" s="20">
        <v>95306000</v>
      </c>
      <c r="H188" s="20">
        <v>114020000</v>
      </c>
      <c r="I188" s="20">
        <v>131377000</v>
      </c>
    </row>
    <row r="189" spans="1:10" ht="16.899999999999999" customHeight="1" x14ac:dyDescent="0.3">
      <c r="A189" s="15"/>
      <c r="B189" s="15"/>
      <c r="C189" s="15"/>
      <c r="D189" s="15"/>
      <c r="E189" s="15"/>
      <c r="F189" s="15"/>
      <c r="G189" s="15"/>
      <c r="H189" s="15"/>
      <c r="I189" s="15"/>
    </row>
    <row r="190" spans="1:10" ht="16.899999999999999" customHeight="1" x14ac:dyDescent="0.3">
      <c r="A190" s="15"/>
      <c r="B190" s="19" t="s">
        <v>174</v>
      </c>
      <c r="C190" s="20">
        <v>18668000</v>
      </c>
      <c r="D190" s="20">
        <v>28563000</v>
      </c>
      <c r="E190" s="20" t="s">
        <v>175</v>
      </c>
      <c r="F190" s="20">
        <v>53783000</v>
      </c>
      <c r="G190" s="20">
        <v>34799000</v>
      </c>
      <c r="H190" s="20">
        <v>0</v>
      </c>
      <c r="I190" s="20">
        <v>22853000</v>
      </c>
    </row>
    <row r="191" spans="1:10" ht="16.899999999999999" customHeight="1" x14ac:dyDescent="0.3">
      <c r="A191" s="15"/>
      <c r="B191" s="19" t="s">
        <v>176</v>
      </c>
      <c r="C191" s="20"/>
      <c r="D191" s="20"/>
      <c r="E191" s="20"/>
      <c r="F191" s="20"/>
      <c r="G191" s="20"/>
      <c r="H191" s="20">
        <v>0</v>
      </c>
      <c r="I191" s="20"/>
    </row>
    <row r="192" spans="1:10" ht="16.899999999999999" customHeight="1" x14ac:dyDescent="0.3">
      <c r="A192" s="15"/>
      <c r="B192" s="15"/>
      <c r="C192" s="15"/>
      <c r="D192" s="15"/>
      <c r="E192" s="15"/>
      <c r="F192" s="15"/>
      <c r="G192" s="15"/>
      <c r="H192" s="15"/>
      <c r="I192" s="15"/>
    </row>
    <row r="196" spans="1:10" ht="15.65" customHeight="1" x14ac:dyDescent="0.3">
      <c r="A196" s="10" t="s">
        <v>0</v>
      </c>
    </row>
    <row r="197" spans="1:10" ht="13.15" customHeight="1" x14ac:dyDescent="0.3"/>
    <row r="198" spans="1:10" ht="16.899999999999999" customHeight="1" x14ac:dyDescent="0.3">
      <c r="A198" s="15"/>
      <c r="B198" s="24" t="s">
        <v>177</v>
      </c>
      <c r="C198" s="15"/>
      <c r="D198" s="15"/>
      <c r="E198" s="15"/>
      <c r="F198" s="15"/>
      <c r="G198" s="15"/>
      <c r="H198" s="15"/>
      <c r="I198" s="15"/>
    </row>
    <row r="199" spans="1:10" ht="28.9" customHeight="1" x14ac:dyDescent="0.3">
      <c r="A199" s="12"/>
      <c r="B199" s="13" t="s">
        <v>1</v>
      </c>
      <c r="C199" s="14" t="s">
        <v>2</v>
      </c>
      <c r="D199" s="14" t="s">
        <v>3</v>
      </c>
      <c r="E199" s="14" t="s">
        <v>4</v>
      </c>
      <c r="F199" s="14" t="s">
        <v>5</v>
      </c>
      <c r="G199" s="14" t="s">
        <v>6</v>
      </c>
      <c r="H199" s="14" t="s">
        <v>7</v>
      </c>
      <c r="I199" s="14" t="s">
        <v>8</v>
      </c>
    </row>
    <row r="200" spans="1:10" ht="54" customHeight="1" x14ac:dyDescent="0.3">
      <c r="A200" s="15"/>
      <c r="B200" s="15"/>
      <c r="C200" s="16" t="s">
        <v>9</v>
      </c>
      <c r="D200" s="16" t="s">
        <v>9</v>
      </c>
      <c r="E200" s="16" t="s">
        <v>9</v>
      </c>
      <c r="F200" s="16" t="s">
        <v>9</v>
      </c>
      <c r="G200" s="16" t="s">
        <v>9</v>
      </c>
      <c r="H200" s="16" t="s">
        <v>9</v>
      </c>
      <c r="I200" s="16" t="s">
        <v>9</v>
      </c>
    </row>
    <row r="201" spans="1:10" ht="16.899999999999999" customHeight="1" x14ac:dyDescent="0.3">
      <c r="A201" s="15"/>
      <c r="B201" s="19" t="s">
        <v>178</v>
      </c>
      <c r="C201" s="20">
        <v>28873000</v>
      </c>
      <c r="D201" s="20">
        <v>29966000</v>
      </c>
      <c r="E201" s="20">
        <v>29733000</v>
      </c>
      <c r="F201" s="20">
        <v>28534000</v>
      </c>
      <c r="G201" s="20">
        <v>29614000</v>
      </c>
      <c r="H201" s="20">
        <v>31352000</v>
      </c>
      <c r="I201" s="20">
        <v>32374000</v>
      </c>
    </row>
    <row r="202" spans="1:10" ht="16.899999999999999" customHeight="1" x14ac:dyDescent="0.3">
      <c r="A202" s="15"/>
      <c r="B202" s="19" t="s">
        <v>179</v>
      </c>
      <c r="C202" s="20">
        <v>28776000</v>
      </c>
      <c r="D202" s="20">
        <v>29846000</v>
      </c>
      <c r="E202" s="20">
        <v>29619000</v>
      </c>
      <c r="F202" s="20">
        <v>27209000</v>
      </c>
      <c r="G202" s="20">
        <v>29488000</v>
      </c>
      <c r="H202" s="20">
        <v>31352000</v>
      </c>
      <c r="I202" s="21">
        <v>32326000</v>
      </c>
      <c r="J202" s="26" t="s">
        <v>397</v>
      </c>
    </row>
    <row r="203" spans="1:10" ht="16.899999999999999" customHeight="1" x14ac:dyDescent="0.3">
      <c r="A203" s="15"/>
      <c r="B203" s="19" t="s">
        <v>180</v>
      </c>
      <c r="C203" s="20">
        <v>0</v>
      </c>
      <c r="D203" s="20">
        <v>0</v>
      </c>
      <c r="E203" s="20">
        <v>0</v>
      </c>
      <c r="F203" s="20">
        <v>0</v>
      </c>
      <c r="G203" s="20">
        <v>0</v>
      </c>
      <c r="H203" s="20">
        <v>0</v>
      </c>
      <c r="I203" s="20">
        <v>0</v>
      </c>
      <c r="J203" s="26" t="s">
        <v>400</v>
      </c>
    </row>
    <row r="204" spans="1:10" ht="16.899999999999999" customHeight="1" x14ac:dyDescent="0.3">
      <c r="A204" s="15"/>
      <c r="B204" s="19" t="s">
        <v>181</v>
      </c>
      <c r="C204" s="20">
        <v>0</v>
      </c>
      <c r="D204" s="20">
        <v>0</v>
      </c>
      <c r="E204" s="20">
        <v>0</v>
      </c>
      <c r="F204" s="20">
        <v>0</v>
      </c>
      <c r="G204" s="20">
        <v>0</v>
      </c>
      <c r="H204" s="20">
        <v>0</v>
      </c>
      <c r="I204" s="20">
        <v>0</v>
      </c>
      <c r="J204" s="26" t="s">
        <v>400</v>
      </c>
    </row>
    <row r="205" spans="1:10" ht="16.899999999999999" customHeight="1" x14ac:dyDescent="0.3">
      <c r="A205" s="15"/>
      <c r="B205" s="19" t="s">
        <v>182</v>
      </c>
      <c r="C205" s="16">
        <v>0</v>
      </c>
      <c r="D205" s="16">
        <v>0</v>
      </c>
      <c r="E205" s="16">
        <v>0</v>
      </c>
      <c r="F205" s="16">
        <v>0</v>
      </c>
      <c r="G205" s="16">
        <v>0</v>
      </c>
      <c r="H205" s="16">
        <v>0</v>
      </c>
      <c r="I205" s="16">
        <v>0</v>
      </c>
    </row>
    <row r="206" spans="1:10" ht="16.899999999999999" customHeight="1" x14ac:dyDescent="0.3">
      <c r="A206" s="15"/>
      <c r="B206" s="19" t="s">
        <v>183</v>
      </c>
      <c r="C206" s="20">
        <v>0</v>
      </c>
      <c r="D206" s="20">
        <v>0</v>
      </c>
      <c r="E206" s="20">
        <v>0</v>
      </c>
      <c r="F206" s="20">
        <v>0</v>
      </c>
      <c r="G206" s="20">
        <v>0</v>
      </c>
      <c r="H206" s="20">
        <v>0</v>
      </c>
      <c r="I206" s="20">
        <v>0</v>
      </c>
      <c r="J206" s="26" t="s">
        <v>400</v>
      </c>
    </row>
    <row r="207" spans="1:10" ht="16.899999999999999" customHeight="1" x14ac:dyDescent="0.3">
      <c r="A207" s="15"/>
      <c r="B207" s="19" t="s">
        <v>184</v>
      </c>
      <c r="C207" s="20">
        <v>97000</v>
      </c>
      <c r="D207" s="20">
        <v>120000</v>
      </c>
      <c r="E207" s="20">
        <v>114000</v>
      </c>
      <c r="F207" s="20">
        <v>1325000</v>
      </c>
      <c r="G207" s="20">
        <v>126000</v>
      </c>
      <c r="H207" s="20">
        <v>0</v>
      </c>
      <c r="I207" s="20">
        <v>48000</v>
      </c>
      <c r="J207" s="26" t="s">
        <v>426</v>
      </c>
    </row>
    <row r="208" spans="1:10" ht="16.899999999999999" customHeight="1" x14ac:dyDescent="0.3">
      <c r="A208" s="15"/>
      <c r="B208" s="19" t="s">
        <v>185</v>
      </c>
      <c r="C208" s="16"/>
      <c r="D208" s="16">
        <v>0</v>
      </c>
      <c r="E208" s="16">
        <v>0</v>
      </c>
      <c r="F208" s="16">
        <v>0</v>
      </c>
      <c r="G208" s="20">
        <v>0</v>
      </c>
      <c r="H208" s="20">
        <v>0</v>
      </c>
      <c r="I208" s="20"/>
    </row>
    <row r="209" spans="1:10" ht="16.899999999999999" customHeight="1" x14ac:dyDescent="0.3">
      <c r="A209" s="15"/>
      <c r="B209" s="15"/>
      <c r="C209" s="15"/>
      <c r="D209" s="15"/>
      <c r="E209" s="15"/>
      <c r="F209" s="15"/>
      <c r="G209" s="15"/>
      <c r="H209" s="15"/>
      <c r="I209" s="15"/>
    </row>
    <row r="210" spans="1:10" ht="16.899999999999999" customHeight="1" x14ac:dyDescent="0.3">
      <c r="A210" s="15"/>
      <c r="B210" s="19" t="s">
        <v>186</v>
      </c>
      <c r="C210" s="20">
        <v>24343000</v>
      </c>
      <c r="D210" s="20">
        <v>24756000</v>
      </c>
      <c r="E210" s="20">
        <v>24104000</v>
      </c>
      <c r="F210" s="20">
        <v>25010000</v>
      </c>
      <c r="G210" s="20">
        <v>23982000</v>
      </c>
      <c r="H210" s="20">
        <v>25447000</v>
      </c>
      <c r="I210" s="20">
        <v>26649000</v>
      </c>
    </row>
    <row r="211" spans="1:10" ht="16.899999999999999" customHeight="1" x14ac:dyDescent="0.3">
      <c r="A211" s="15"/>
      <c r="B211" s="19" t="s">
        <v>187</v>
      </c>
      <c r="C211" s="20">
        <v>2623000</v>
      </c>
      <c r="D211" s="20">
        <v>2548000</v>
      </c>
      <c r="E211" s="20">
        <v>1798000</v>
      </c>
      <c r="F211" s="20">
        <v>1029000</v>
      </c>
      <c r="G211" s="20">
        <v>710000</v>
      </c>
      <c r="H211" s="20">
        <v>775000</v>
      </c>
      <c r="I211" s="20">
        <v>882000</v>
      </c>
      <c r="J211" s="26" t="s">
        <v>399</v>
      </c>
    </row>
    <row r="212" spans="1:10" ht="16.899999999999999" customHeight="1" x14ac:dyDescent="0.3">
      <c r="A212" s="15"/>
      <c r="B212" s="19" t="s">
        <v>188</v>
      </c>
      <c r="C212" s="20">
        <v>8979000</v>
      </c>
      <c r="D212" s="20">
        <v>9340000</v>
      </c>
      <c r="E212" s="20">
        <v>9813000</v>
      </c>
      <c r="F212" s="20">
        <v>10055000</v>
      </c>
      <c r="G212" s="20">
        <v>9099000</v>
      </c>
      <c r="H212" s="20">
        <v>10724000</v>
      </c>
      <c r="I212" s="20">
        <v>11489000</v>
      </c>
      <c r="J212" s="26" t="s">
        <v>404</v>
      </c>
    </row>
    <row r="213" spans="1:10" ht="16.899999999999999" customHeight="1" x14ac:dyDescent="0.3">
      <c r="A213" s="15"/>
      <c r="B213" s="19" t="s">
        <v>189</v>
      </c>
      <c r="C213" s="20">
        <v>132000</v>
      </c>
      <c r="D213" s="20">
        <v>137000</v>
      </c>
      <c r="E213" s="20">
        <v>279000</v>
      </c>
      <c r="F213" s="20">
        <v>265000</v>
      </c>
      <c r="G213" s="20">
        <v>301000</v>
      </c>
      <c r="H213" s="20">
        <v>312000</v>
      </c>
      <c r="I213" s="20">
        <v>41000</v>
      </c>
      <c r="J213" s="26" t="s">
        <v>404</v>
      </c>
    </row>
    <row r="214" spans="1:10" ht="16.899999999999999" customHeight="1" x14ac:dyDescent="0.3">
      <c r="A214" s="15"/>
      <c r="B214" s="19" t="s">
        <v>190</v>
      </c>
      <c r="C214" s="20">
        <v>5086000</v>
      </c>
      <c r="D214" s="20">
        <v>5072000</v>
      </c>
      <c r="E214" s="20">
        <v>4727000</v>
      </c>
      <c r="F214" s="20">
        <v>4714000</v>
      </c>
      <c r="G214" s="20">
        <v>5041000</v>
      </c>
      <c r="H214" s="20">
        <v>5577000</v>
      </c>
      <c r="I214" s="20">
        <v>6083000</v>
      </c>
    </row>
    <row r="215" spans="1:10" ht="16.899999999999999" customHeight="1" x14ac:dyDescent="0.3">
      <c r="A215" s="15"/>
      <c r="B215" s="19" t="s">
        <v>191</v>
      </c>
      <c r="C215" s="20">
        <v>3651000</v>
      </c>
      <c r="D215" s="20">
        <v>3710000</v>
      </c>
      <c r="E215" s="20">
        <v>3443000</v>
      </c>
      <c r="F215" s="20">
        <v>3409000</v>
      </c>
      <c r="G215" s="20">
        <v>3696000</v>
      </c>
      <c r="H215" s="20">
        <v>3923000</v>
      </c>
      <c r="I215" s="20">
        <v>6083000</v>
      </c>
      <c r="J215" s="26" t="s">
        <v>402</v>
      </c>
    </row>
    <row r="216" spans="1:10" ht="16.899999999999999" customHeight="1" x14ac:dyDescent="0.3">
      <c r="A216" s="15"/>
      <c r="B216" s="19" t="s">
        <v>192</v>
      </c>
      <c r="C216" s="20">
        <v>1120000</v>
      </c>
      <c r="D216" s="20">
        <v>1110000</v>
      </c>
      <c r="E216" s="20">
        <v>998000</v>
      </c>
      <c r="F216" s="20">
        <v>947000</v>
      </c>
      <c r="G216" s="20">
        <v>1015000</v>
      </c>
      <c r="H216" s="20">
        <v>1096000</v>
      </c>
      <c r="I216" s="20">
        <v>0</v>
      </c>
      <c r="J216" s="26" t="s">
        <v>402</v>
      </c>
    </row>
    <row r="217" spans="1:10" ht="16.899999999999999" customHeight="1" x14ac:dyDescent="0.3">
      <c r="A217" s="15"/>
      <c r="B217" s="19" t="s">
        <v>193</v>
      </c>
      <c r="C217" s="20">
        <v>0</v>
      </c>
      <c r="D217" s="20">
        <v>0</v>
      </c>
      <c r="E217" s="20">
        <v>0</v>
      </c>
      <c r="F217" s="20">
        <v>0</v>
      </c>
      <c r="G217" s="20">
        <v>0</v>
      </c>
      <c r="H217" s="20">
        <v>0</v>
      </c>
      <c r="I217" s="20">
        <v>0</v>
      </c>
      <c r="J217" s="26" t="s">
        <v>402</v>
      </c>
    </row>
    <row r="218" spans="1:10" ht="16.899999999999999" customHeight="1" x14ac:dyDescent="0.3">
      <c r="A218" s="15"/>
      <c r="B218" s="19" t="s">
        <v>194</v>
      </c>
      <c r="C218" s="20">
        <v>0</v>
      </c>
      <c r="D218" s="20">
        <v>0</v>
      </c>
      <c r="E218" s="20">
        <v>0</v>
      </c>
      <c r="F218" s="20">
        <v>0</v>
      </c>
      <c r="G218" s="20">
        <v>0</v>
      </c>
      <c r="H218" s="20">
        <v>0</v>
      </c>
      <c r="I218" s="20">
        <v>0</v>
      </c>
      <c r="J218" s="26" t="s">
        <v>402</v>
      </c>
    </row>
    <row r="219" spans="1:10" ht="16.899999999999999" customHeight="1" x14ac:dyDescent="0.3">
      <c r="A219" s="15"/>
      <c r="B219" s="19" t="s">
        <v>195</v>
      </c>
      <c r="C219" s="20">
        <v>315000</v>
      </c>
      <c r="D219" s="20">
        <v>252000</v>
      </c>
      <c r="E219" s="20">
        <v>286000</v>
      </c>
      <c r="F219" s="20">
        <v>358000</v>
      </c>
      <c r="G219" s="20">
        <v>330000</v>
      </c>
      <c r="H219" s="20">
        <v>558000</v>
      </c>
      <c r="I219" s="20">
        <v>0</v>
      </c>
    </row>
    <row r="220" spans="1:10" ht="16.899999999999999" customHeight="1" x14ac:dyDescent="0.3">
      <c r="A220" s="15"/>
      <c r="B220" s="19" t="s">
        <v>196</v>
      </c>
      <c r="C220" s="16">
        <v>315000</v>
      </c>
      <c r="D220" s="16">
        <v>252000</v>
      </c>
      <c r="E220" s="16">
        <v>286000</v>
      </c>
      <c r="F220" s="16">
        <v>358000</v>
      </c>
      <c r="G220" s="16">
        <v>330000</v>
      </c>
      <c r="H220" s="16">
        <v>558000</v>
      </c>
      <c r="I220" s="16">
        <v>0</v>
      </c>
      <c r="J220" s="26" t="s">
        <v>402</v>
      </c>
    </row>
    <row r="221" spans="1:10" ht="16.899999999999999" customHeight="1" x14ac:dyDescent="0.3">
      <c r="A221" s="15"/>
      <c r="B221" s="19" t="s">
        <v>197</v>
      </c>
      <c r="C221" s="20">
        <v>4956000</v>
      </c>
      <c r="D221" s="20">
        <v>5459000</v>
      </c>
      <c r="E221" s="20">
        <v>5460000</v>
      </c>
      <c r="F221" s="20">
        <v>6923000</v>
      </c>
      <c r="G221" s="20">
        <v>6782000</v>
      </c>
      <c r="H221" s="20">
        <v>6394000</v>
      </c>
      <c r="I221" s="20">
        <v>6351000</v>
      </c>
    </row>
    <row r="222" spans="1:10" ht="16.899999999999999" customHeight="1" x14ac:dyDescent="0.3">
      <c r="A222" s="15"/>
      <c r="B222" s="19" t="s">
        <v>198</v>
      </c>
      <c r="C222" s="20">
        <v>45000</v>
      </c>
      <c r="D222" s="20">
        <v>46000</v>
      </c>
      <c r="E222" s="20">
        <v>19000</v>
      </c>
      <c r="F222" s="20">
        <v>33000</v>
      </c>
      <c r="G222" s="20">
        <v>35000</v>
      </c>
      <c r="H222" s="20">
        <v>17000</v>
      </c>
      <c r="I222" s="20">
        <v>11000</v>
      </c>
      <c r="J222" s="26" t="s">
        <v>260</v>
      </c>
    </row>
    <row r="223" spans="1:10" ht="16.899999999999999" customHeight="1" x14ac:dyDescent="0.3">
      <c r="A223" s="15"/>
      <c r="B223" s="19" t="s">
        <v>199</v>
      </c>
      <c r="C223" s="20">
        <v>4623000</v>
      </c>
      <c r="D223" s="20">
        <v>4947000</v>
      </c>
      <c r="E223" s="20">
        <v>5276000</v>
      </c>
      <c r="F223" s="20">
        <v>4984000</v>
      </c>
      <c r="G223" s="20">
        <v>6497000</v>
      </c>
      <c r="H223" s="20">
        <v>6017000</v>
      </c>
      <c r="I223" s="20">
        <v>6182000</v>
      </c>
      <c r="J223" s="26" t="s">
        <v>260</v>
      </c>
    </row>
    <row r="224" spans="1:10" ht="16.899999999999999" customHeight="1" x14ac:dyDescent="0.3">
      <c r="A224" s="15"/>
      <c r="B224" s="19" t="s">
        <v>200</v>
      </c>
      <c r="C224" s="20">
        <v>181000</v>
      </c>
      <c r="D224" s="20">
        <v>200000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6" t="s">
        <v>260</v>
      </c>
    </row>
    <row r="225" spans="1:10" ht="16.899999999999999" customHeight="1" x14ac:dyDescent="0.3">
      <c r="A225" s="15"/>
      <c r="B225" s="19" t="s">
        <v>201</v>
      </c>
      <c r="C225" s="16">
        <v>4849000</v>
      </c>
      <c r="D225" s="16">
        <v>5193000</v>
      </c>
      <c r="E225" s="16">
        <v>5295000</v>
      </c>
      <c r="F225" s="16">
        <v>5017000</v>
      </c>
      <c r="G225" s="16">
        <v>6532000</v>
      </c>
      <c r="H225" s="16">
        <v>6034000</v>
      </c>
      <c r="I225" s="16">
        <v>6193000</v>
      </c>
    </row>
    <row r="226" spans="1:10" ht="16.899999999999999" customHeight="1" x14ac:dyDescent="0.3">
      <c r="A226" s="15"/>
      <c r="B226" s="19" t="s">
        <v>202</v>
      </c>
      <c r="C226" s="20">
        <v>107000</v>
      </c>
      <c r="D226" s="20">
        <v>266000</v>
      </c>
      <c r="E226" s="20">
        <v>165000</v>
      </c>
      <c r="F226" s="20">
        <v>1906000</v>
      </c>
      <c r="G226" s="20">
        <v>250000</v>
      </c>
      <c r="H226" s="20">
        <v>360000</v>
      </c>
      <c r="I226" s="20">
        <v>158000</v>
      </c>
      <c r="J226" s="26" t="s">
        <v>404</v>
      </c>
    </row>
    <row r="227" spans="1:10" ht="16.899999999999999" customHeight="1" x14ac:dyDescent="0.3">
      <c r="A227" s="15"/>
      <c r="B227" s="19" t="s">
        <v>203</v>
      </c>
      <c r="C227" s="20">
        <v>0</v>
      </c>
      <c r="D227" s="20">
        <v>0</v>
      </c>
      <c r="E227" s="20">
        <v>0</v>
      </c>
      <c r="F227" s="20">
        <v>0</v>
      </c>
      <c r="G227" s="20">
        <v>0</v>
      </c>
      <c r="H227" s="20">
        <v>0</v>
      </c>
      <c r="I227" s="20">
        <v>0</v>
      </c>
      <c r="J227" s="26" t="s">
        <v>400</v>
      </c>
    </row>
    <row r="228" spans="1:10" ht="16.899999999999999" customHeight="1" x14ac:dyDescent="0.3">
      <c r="A228" s="15"/>
      <c r="B228" s="19" t="s">
        <v>204</v>
      </c>
      <c r="C228" s="20">
        <v>767000</v>
      </c>
      <c r="D228" s="20">
        <v>468000</v>
      </c>
      <c r="E228" s="20">
        <v>353000</v>
      </c>
      <c r="F228" s="20">
        <v>0</v>
      </c>
      <c r="G228" s="20">
        <v>0</v>
      </c>
      <c r="H228" s="20">
        <v>0</v>
      </c>
      <c r="I228" s="20">
        <v>0</v>
      </c>
      <c r="J228" s="26" t="s">
        <v>408</v>
      </c>
    </row>
    <row r="229" spans="1:10" ht="16.899999999999999" customHeight="1" x14ac:dyDescent="0.3">
      <c r="A229" s="15"/>
      <c r="B229" s="19" t="s">
        <v>205</v>
      </c>
      <c r="C229" s="20">
        <v>0</v>
      </c>
      <c r="D229" s="20">
        <v>0</v>
      </c>
      <c r="E229" s="20">
        <v>0</v>
      </c>
      <c r="F229" s="20">
        <v>305000</v>
      </c>
      <c r="G229" s="20">
        <v>60000</v>
      </c>
      <c r="H229" s="20">
        <v>0</v>
      </c>
      <c r="I229" s="20">
        <v>0</v>
      </c>
      <c r="J229" s="26" t="s">
        <v>408</v>
      </c>
    </row>
    <row r="230" spans="1:10" ht="16.899999999999999" customHeight="1" x14ac:dyDescent="0.3">
      <c r="A230" s="15"/>
      <c r="B230" s="19" t="s">
        <v>206</v>
      </c>
      <c r="C230" s="20">
        <v>1800000</v>
      </c>
      <c r="D230" s="20">
        <v>1732000</v>
      </c>
      <c r="E230" s="20">
        <v>1674000</v>
      </c>
      <c r="F230" s="20">
        <v>1719000</v>
      </c>
      <c r="G230" s="20">
        <v>1989000</v>
      </c>
      <c r="H230" s="20">
        <v>1665000</v>
      </c>
      <c r="I230" s="20">
        <v>1803000</v>
      </c>
      <c r="J230" s="26" t="s">
        <v>403</v>
      </c>
    </row>
    <row r="231" spans="1:10" ht="16.899999999999999" customHeight="1" x14ac:dyDescent="0.3">
      <c r="A231" s="15"/>
      <c r="B231" s="15"/>
      <c r="C231" s="15"/>
      <c r="D231" s="15"/>
      <c r="E231" s="15"/>
      <c r="F231" s="15"/>
      <c r="G231" s="15"/>
      <c r="H231" s="15"/>
      <c r="I231" s="15"/>
    </row>
    <row r="232" spans="1:10" ht="16.899999999999999" customHeight="1" x14ac:dyDescent="0.3">
      <c r="A232" s="15"/>
      <c r="B232" s="19" t="s">
        <v>207</v>
      </c>
      <c r="C232" s="20">
        <v>4530000</v>
      </c>
      <c r="D232" s="20">
        <v>5210000</v>
      </c>
      <c r="E232" s="20">
        <v>5629000</v>
      </c>
      <c r="F232" s="20">
        <v>3524000</v>
      </c>
      <c r="G232" s="20">
        <v>5632000</v>
      </c>
      <c r="H232" s="20">
        <v>5905000</v>
      </c>
      <c r="I232" s="20">
        <v>5725000</v>
      </c>
    </row>
    <row r="233" spans="1:10" ht="16.899999999999999" customHeight="1" x14ac:dyDescent="0.3">
      <c r="A233" s="15"/>
      <c r="B233" s="19" t="s">
        <v>208</v>
      </c>
      <c r="C233" s="20">
        <v>15339000</v>
      </c>
      <c r="D233" s="20">
        <v>16209000</v>
      </c>
      <c r="E233" s="20">
        <v>16169000</v>
      </c>
      <c r="F233" s="20">
        <v>15466000</v>
      </c>
      <c r="G233" s="20">
        <v>17515000</v>
      </c>
      <c r="H233" s="20">
        <v>17876000</v>
      </c>
      <c r="I233" s="20">
        <v>18159000</v>
      </c>
    </row>
    <row r="234" spans="1:10" ht="16.899999999999999" customHeight="1" x14ac:dyDescent="0.3">
      <c r="A234" s="15"/>
      <c r="B234" s="15"/>
      <c r="C234" s="15"/>
      <c r="D234" s="15"/>
      <c r="E234" s="15"/>
      <c r="F234" s="15"/>
      <c r="G234" s="15"/>
      <c r="H234" s="15"/>
      <c r="I234" s="15"/>
    </row>
    <row r="235" spans="1:10" ht="16.899999999999999" customHeight="1" x14ac:dyDescent="0.3">
      <c r="A235" s="15"/>
      <c r="B235" s="19" t="s">
        <v>209</v>
      </c>
      <c r="C235" s="20">
        <v>-973000</v>
      </c>
      <c r="D235" s="20">
        <v>-1420000</v>
      </c>
      <c r="E235" s="20">
        <v>-1627000</v>
      </c>
      <c r="F235" s="20">
        <v>-1230000</v>
      </c>
      <c r="G235" s="20">
        <v>-1257000</v>
      </c>
      <c r="H235" s="20">
        <v>-1393000</v>
      </c>
      <c r="I235" s="20">
        <v>-1619000</v>
      </c>
      <c r="J235" s="26" t="s">
        <v>436</v>
      </c>
    </row>
    <row r="236" spans="1:10" ht="16.899999999999999" customHeight="1" x14ac:dyDescent="0.3">
      <c r="A236" s="15"/>
      <c r="B236" s="19" t="s">
        <v>210</v>
      </c>
      <c r="C236" s="20">
        <v>0</v>
      </c>
      <c r="D236" s="20">
        <v>0</v>
      </c>
      <c r="E236" s="20">
        <v>0</v>
      </c>
      <c r="F236" s="20">
        <v>0</v>
      </c>
      <c r="G236" s="20">
        <v>0</v>
      </c>
      <c r="H236" s="20">
        <v>0</v>
      </c>
      <c r="I236" s="20">
        <v>0</v>
      </c>
    </row>
    <row r="237" spans="1:10" ht="27.65" customHeight="1" x14ac:dyDescent="0.3">
      <c r="A237" s="15"/>
      <c r="B237" s="19" t="s">
        <v>211</v>
      </c>
      <c r="C237" s="20"/>
      <c r="D237" s="20"/>
      <c r="E237" s="20"/>
      <c r="F237" s="20"/>
      <c r="G237" s="16"/>
      <c r="H237" s="16"/>
      <c r="I237" s="20"/>
    </row>
    <row r="238" spans="1:10" ht="16.899999999999999" customHeight="1" x14ac:dyDescent="0.3">
      <c r="A238" s="15"/>
      <c r="B238" s="19" t="s">
        <v>212</v>
      </c>
      <c r="C238" s="16"/>
      <c r="D238" s="16"/>
      <c r="E238" s="16"/>
      <c r="F238" s="16">
        <v>0</v>
      </c>
      <c r="G238" s="16">
        <v>0</v>
      </c>
      <c r="H238" s="16">
        <v>0</v>
      </c>
      <c r="I238" s="20">
        <v>0</v>
      </c>
    </row>
    <row r="239" spans="1:10" ht="27.65" customHeight="1" x14ac:dyDescent="0.3">
      <c r="A239" s="15"/>
      <c r="B239" s="19" t="s">
        <v>213</v>
      </c>
      <c r="C239" s="16"/>
      <c r="D239" s="16"/>
      <c r="E239" s="16"/>
      <c r="F239" s="16">
        <v>0</v>
      </c>
      <c r="G239" s="16">
        <v>0</v>
      </c>
      <c r="H239" s="16">
        <v>0</v>
      </c>
      <c r="I239" s="20">
        <v>0</v>
      </c>
    </row>
    <row r="240" spans="1:10" ht="16.899999999999999" customHeight="1" x14ac:dyDescent="0.3">
      <c r="A240" s="15"/>
      <c r="B240" s="19" t="s">
        <v>214</v>
      </c>
      <c r="C240" s="20">
        <v>314000</v>
      </c>
      <c r="D240" s="20">
        <v>312000</v>
      </c>
      <c r="E240" s="20">
        <v>246000</v>
      </c>
      <c r="F240" s="20">
        <v>215000</v>
      </c>
      <c r="G240" s="20">
        <v>128000</v>
      </c>
      <c r="H240" s="20">
        <v>107000</v>
      </c>
      <c r="I240" s="20">
        <v>44000</v>
      </c>
    </row>
    <row r="241" spans="1:10" ht="16.899999999999999" customHeight="1" x14ac:dyDescent="0.3">
      <c r="A241" s="15"/>
      <c r="B241" s="19" t="s">
        <v>215</v>
      </c>
      <c r="C241" s="20">
        <v>0</v>
      </c>
      <c r="D241" s="20">
        <v>0</v>
      </c>
      <c r="E241" s="20">
        <v>0</v>
      </c>
      <c r="F241" s="20">
        <v>0</v>
      </c>
      <c r="G241" s="20">
        <v>0</v>
      </c>
      <c r="H241" s="20">
        <v>0</v>
      </c>
      <c r="I241" s="20">
        <v>0</v>
      </c>
    </row>
    <row r="242" spans="1:10" ht="27.65" customHeight="1" x14ac:dyDescent="0.3">
      <c r="A242" s="15"/>
      <c r="B242" s="19" t="s">
        <v>211</v>
      </c>
      <c r="C242" s="16"/>
      <c r="D242" s="16"/>
      <c r="E242" s="16"/>
      <c r="F242" s="16"/>
      <c r="G242" s="16"/>
      <c r="H242" s="16"/>
      <c r="I242" s="16"/>
    </row>
    <row r="243" spans="1:10" ht="27.65" customHeight="1" x14ac:dyDescent="0.3">
      <c r="A243" s="15"/>
      <c r="B243" s="19" t="s">
        <v>213</v>
      </c>
      <c r="C243" s="16"/>
      <c r="D243" s="16"/>
      <c r="E243" s="16"/>
      <c r="F243" s="16">
        <v>0</v>
      </c>
      <c r="G243" s="16">
        <v>0</v>
      </c>
      <c r="H243" s="16">
        <v>0</v>
      </c>
      <c r="I243" s="16">
        <v>0</v>
      </c>
    </row>
    <row r="244" spans="1:10" ht="16.899999999999999" customHeight="1" x14ac:dyDescent="0.3">
      <c r="A244" s="15"/>
      <c r="B244" s="19" t="s">
        <v>216</v>
      </c>
      <c r="C244" s="20">
        <v>0</v>
      </c>
      <c r="D244" s="20">
        <v>0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</row>
    <row r="245" spans="1:10" ht="16.899999999999999" customHeight="1" x14ac:dyDescent="0.3">
      <c r="A245" s="15"/>
      <c r="B245" s="19" t="s">
        <v>217</v>
      </c>
      <c r="C245" s="20">
        <v>0</v>
      </c>
      <c r="D245" s="20">
        <v>0</v>
      </c>
      <c r="E245" s="20">
        <v>0</v>
      </c>
      <c r="F245" s="20">
        <v>0</v>
      </c>
      <c r="G245" s="20">
        <v>0</v>
      </c>
      <c r="H245" s="20">
        <v>0</v>
      </c>
      <c r="I245" s="20">
        <v>0</v>
      </c>
    </row>
    <row r="246" spans="1:10" ht="16.899999999999999" customHeight="1" x14ac:dyDescent="0.3">
      <c r="A246" s="15"/>
      <c r="B246" s="19" t="s">
        <v>218</v>
      </c>
      <c r="C246" s="16">
        <v>0</v>
      </c>
      <c r="D246" s="16">
        <v>0</v>
      </c>
      <c r="E246" s="16">
        <v>0</v>
      </c>
      <c r="F246" s="16">
        <v>0</v>
      </c>
      <c r="G246" s="16">
        <v>0</v>
      </c>
      <c r="H246" s="16">
        <v>0</v>
      </c>
      <c r="I246" s="16">
        <v>0</v>
      </c>
    </row>
    <row r="247" spans="1:10" ht="16.899999999999999" customHeight="1" x14ac:dyDescent="0.3">
      <c r="A247" s="15"/>
      <c r="B247" s="19" t="s">
        <v>219</v>
      </c>
      <c r="C247" s="20">
        <v>314000</v>
      </c>
      <c r="D247" s="20">
        <v>312000</v>
      </c>
      <c r="E247" s="20">
        <v>246000</v>
      </c>
      <c r="F247" s="20">
        <v>215000</v>
      </c>
      <c r="G247" s="20">
        <v>128000</v>
      </c>
      <c r="H247" s="20">
        <v>107000</v>
      </c>
      <c r="I247" s="20">
        <v>44000</v>
      </c>
    </row>
    <row r="248" spans="1:10" ht="27.65" customHeight="1" x14ac:dyDescent="0.3">
      <c r="A248" s="15"/>
      <c r="B248" s="19" t="s">
        <v>220</v>
      </c>
      <c r="C248" s="16"/>
      <c r="D248" s="16"/>
      <c r="E248" s="16"/>
      <c r="F248" s="16"/>
      <c r="G248" s="16"/>
      <c r="H248" s="16"/>
      <c r="I248" s="16"/>
    </row>
    <row r="249" spans="1:10" ht="27.65" customHeight="1" x14ac:dyDescent="0.3">
      <c r="A249" s="15"/>
      <c r="B249" s="19" t="s">
        <v>213</v>
      </c>
      <c r="C249" s="16"/>
      <c r="D249" s="16"/>
      <c r="E249" s="16"/>
      <c r="F249" s="16"/>
      <c r="G249" s="16"/>
      <c r="H249" s="16"/>
      <c r="I249" s="16"/>
    </row>
    <row r="250" spans="1:10" ht="16.899999999999999" customHeight="1" x14ac:dyDescent="0.3">
      <c r="A250" s="15"/>
      <c r="B250" s="19" t="s">
        <v>221</v>
      </c>
      <c r="C250" s="20">
        <v>1287000</v>
      </c>
      <c r="D250" s="20">
        <v>1732000</v>
      </c>
      <c r="E250" s="20">
        <v>1873000</v>
      </c>
      <c r="F250" s="20">
        <v>1435000</v>
      </c>
      <c r="G250" s="20">
        <v>1385000</v>
      </c>
      <c r="H250" s="20">
        <v>1500000</v>
      </c>
      <c r="I250" s="20">
        <v>1663000</v>
      </c>
    </row>
    <row r="251" spans="1:10" ht="27.65" customHeight="1" x14ac:dyDescent="0.3">
      <c r="A251" s="15"/>
      <c r="B251" s="19" t="s">
        <v>211</v>
      </c>
      <c r="C251" s="16"/>
      <c r="D251" s="16"/>
      <c r="E251" s="16"/>
      <c r="F251" s="16"/>
      <c r="G251" s="16"/>
      <c r="H251" s="16"/>
      <c r="I251" s="16"/>
    </row>
    <row r="252" spans="1:10" ht="27.65" customHeight="1" x14ac:dyDescent="0.3">
      <c r="A252" s="15"/>
      <c r="B252" s="19" t="s">
        <v>213</v>
      </c>
      <c r="C252" s="16"/>
      <c r="D252" s="16"/>
      <c r="E252" s="16"/>
      <c r="F252" s="16"/>
      <c r="G252" s="16"/>
      <c r="H252" s="16"/>
      <c r="I252" s="16"/>
    </row>
    <row r="253" spans="1:10" ht="16.899999999999999" customHeight="1" x14ac:dyDescent="0.3">
      <c r="A253" s="15"/>
      <c r="B253" s="19" t="s">
        <v>222</v>
      </c>
      <c r="C253" s="20">
        <v>0</v>
      </c>
      <c r="D253" s="20">
        <v>0</v>
      </c>
      <c r="E253" s="20">
        <v>0</v>
      </c>
      <c r="F253" s="20">
        <v>-10000</v>
      </c>
      <c r="G253" s="20">
        <v>0</v>
      </c>
      <c r="H253" s="20">
        <v>0</v>
      </c>
      <c r="I253" s="20">
        <v>0</v>
      </c>
    </row>
    <row r="254" spans="1:10" ht="16.899999999999999" customHeight="1" x14ac:dyDescent="0.3">
      <c r="A254" s="15"/>
      <c r="B254" s="15"/>
      <c r="C254" s="15"/>
      <c r="D254" s="15"/>
      <c r="E254" s="15"/>
      <c r="F254" s="15"/>
      <c r="G254" s="15"/>
      <c r="H254" s="15"/>
      <c r="I254" s="15"/>
    </row>
    <row r="255" spans="1:10" ht="16.899999999999999" customHeight="1" x14ac:dyDescent="0.3">
      <c r="A255" s="15"/>
      <c r="B255" s="19" t="s">
        <v>223</v>
      </c>
      <c r="C255" s="20">
        <v>0</v>
      </c>
      <c r="D255" s="20">
        <v>0</v>
      </c>
      <c r="E255" s="20">
        <v>0</v>
      </c>
      <c r="F255" s="20">
        <v>-50000</v>
      </c>
      <c r="G255" s="20">
        <v>0</v>
      </c>
      <c r="H255" s="20">
        <v>-236000</v>
      </c>
      <c r="I255" s="20">
        <v>-56000</v>
      </c>
      <c r="J255" s="26" t="s">
        <v>261</v>
      </c>
    </row>
    <row r="256" spans="1:10" ht="16.899999999999999" customHeight="1" x14ac:dyDescent="0.3">
      <c r="A256" s="15"/>
      <c r="B256" s="19" t="s">
        <v>224</v>
      </c>
      <c r="C256" s="20">
        <v>0</v>
      </c>
      <c r="D256" s="20">
        <v>0</v>
      </c>
      <c r="E256" s="20">
        <v>0</v>
      </c>
      <c r="F256" s="20">
        <v>0</v>
      </c>
      <c r="G256" s="20">
        <v>0</v>
      </c>
      <c r="H256" s="20">
        <v>0</v>
      </c>
      <c r="I256" s="20">
        <v>0</v>
      </c>
    </row>
    <row r="257" spans="1:10" ht="16.899999999999999" customHeight="1" x14ac:dyDescent="0.3">
      <c r="A257" s="15"/>
      <c r="B257" s="19" t="s">
        <v>225</v>
      </c>
      <c r="C257" s="20">
        <v>0</v>
      </c>
      <c r="D257" s="20">
        <v>0</v>
      </c>
      <c r="E257" s="20">
        <v>0</v>
      </c>
      <c r="F257" s="20">
        <v>0</v>
      </c>
      <c r="G257" s="20">
        <v>0</v>
      </c>
      <c r="H257" s="20">
        <v>0</v>
      </c>
      <c r="I257" s="20">
        <v>0</v>
      </c>
    </row>
    <row r="258" spans="1:10" ht="16.899999999999999" customHeight="1" x14ac:dyDescent="0.3">
      <c r="A258" s="15"/>
      <c r="B258" s="19" t="s">
        <v>226</v>
      </c>
      <c r="C258" s="20">
        <v>0</v>
      </c>
      <c r="D258" s="20">
        <v>0</v>
      </c>
      <c r="E258" s="20">
        <v>0</v>
      </c>
      <c r="F258" s="20">
        <v>0</v>
      </c>
      <c r="G258" s="20">
        <v>0</v>
      </c>
      <c r="H258" s="20">
        <v>0</v>
      </c>
      <c r="I258" s="20">
        <v>0</v>
      </c>
    </row>
    <row r="259" spans="1:10" ht="16.899999999999999" customHeight="1" x14ac:dyDescent="0.3">
      <c r="A259" s="15"/>
      <c r="B259" s="19" t="s">
        <v>227</v>
      </c>
      <c r="C259" s="20">
        <v>0</v>
      </c>
      <c r="D259" s="20">
        <v>0</v>
      </c>
      <c r="E259" s="20">
        <v>0</v>
      </c>
      <c r="F259" s="20">
        <v>0</v>
      </c>
      <c r="G259" s="20">
        <v>0</v>
      </c>
      <c r="H259" s="20">
        <v>0</v>
      </c>
      <c r="I259" s="20">
        <v>0</v>
      </c>
    </row>
    <row r="260" spans="1:10" ht="16.899999999999999" customHeight="1" x14ac:dyDescent="0.3">
      <c r="A260" s="15"/>
      <c r="B260" s="19" t="s">
        <v>228</v>
      </c>
      <c r="C260" s="16"/>
      <c r="D260" s="16"/>
      <c r="E260" s="16"/>
      <c r="F260" s="16">
        <v>0</v>
      </c>
      <c r="G260" s="20">
        <v>0</v>
      </c>
      <c r="H260" s="20">
        <v>0</v>
      </c>
      <c r="I260" s="20">
        <v>0</v>
      </c>
    </row>
    <row r="261" spans="1:10" ht="27.65" customHeight="1" x14ac:dyDescent="0.3">
      <c r="A261" s="15"/>
      <c r="B261" s="19" t="s">
        <v>229</v>
      </c>
      <c r="C261" s="16"/>
      <c r="D261" s="16"/>
      <c r="E261" s="16"/>
      <c r="F261" s="16">
        <v>0</v>
      </c>
      <c r="G261" s="20">
        <v>0</v>
      </c>
      <c r="H261" s="20">
        <v>0</v>
      </c>
      <c r="I261" s="20">
        <v>0</v>
      </c>
    </row>
    <row r="262" spans="1:10" ht="16.899999999999999" customHeight="1" x14ac:dyDescent="0.3">
      <c r="A262" s="15"/>
      <c r="B262" s="19" t="s">
        <v>230</v>
      </c>
      <c r="C262" s="20">
        <v>0</v>
      </c>
      <c r="D262" s="20">
        <v>0</v>
      </c>
      <c r="E262" s="20">
        <v>0</v>
      </c>
      <c r="F262" s="20">
        <v>50000</v>
      </c>
      <c r="G262" s="20">
        <v>0</v>
      </c>
      <c r="H262" s="20">
        <v>236000</v>
      </c>
      <c r="I262" s="20">
        <v>56000</v>
      </c>
    </row>
    <row r="263" spans="1:10" ht="16.899999999999999" customHeight="1" x14ac:dyDescent="0.3">
      <c r="A263" s="15"/>
      <c r="B263" s="19" t="s">
        <v>231</v>
      </c>
      <c r="C263" s="20">
        <v>0</v>
      </c>
      <c r="D263" s="20">
        <v>0</v>
      </c>
      <c r="E263" s="20">
        <v>0</v>
      </c>
      <c r="F263" s="20">
        <v>50000</v>
      </c>
      <c r="G263" s="20">
        <v>0</v>
      </c>
      <c r="H263" s="20">
        <v>2000</v>
      </c>
      <c r="I263" s="20">
        <v>0</v>
      </c>
    </row>
    <row r="264" spans="1:10" ht="16.899999999999999" customHeight="1" x14ac:dyDescent="0.3">
      <c r="A264" s="15"/>
      <c r="B264" s="19" t="s">
        <v>232</v>
      </c>
      <c r="C264" s="20">
        <v>0</v>
      </c>
      <c r="D264" s="20">
        <v>0</v>
      </c>
      <c r="E264" s="20">
        <v>0</v>
      </c>
      <c r="F264" s="20">
        <v>0</v>
      </c>
      <c r="G264" s="20">
        <v>0</v>
      </c>
      <c r="H264" s="20">
        <v>234000</v>
      </c>
      <c r="I264" s="20">
        <v>56000</v>
      </c>
    </row>
    <row r="265" spans="1:10" ht="16.899999999999999" customHeight="1" x14ac:dyDescent="0.3">
      <c r="A265" s="15"/>
      <c r="B265" s="19" t="s">
        <v>233</v>
      </c>
      <c r="C265" s="20">
        <v>0</v>
      </c>
      <c r="D265" s="20">
        <v>0</v>
      </c>
      <c r="E265" s="20">
        <v>0</v>
      </c>
      <c r="F265" s="20">
        <v>0</v>
      </c>
      <c r="G265" s="20">
        <v>0</v>
      </c>
      <c r="H265" s="20">
        <v>0</v>
      </c>
      <c r="I265" s="20">
        <v>0</v>
      </c>
    </row>
    <row r="266" spans="1:10" ht="16.899999999999999" customHeight="1" x14ac:dyDescent="0.3">
      <c r="A266" s="15"/>
      <c r="B266" s="19" t="s">
        <v>234</v>
      </c>
      <c r="C266" s="16"/>
      <c r="D266" s="16"/>
      <c r="E266" s="16"/>
      <c r="F266" s="16">
        <v>0</v>
      </c>
      <c r="G266" s="20">
        <v>0</v>
      </c>
      <c r="H266" s="20">
        <v>0</v>
      </c>
      <c r="I266" s="20">
        <v>0</v>
      </c>
    </row>
    <row r="267" spans="1:10" ht="27.65" customHeight="1" x14ac:dyDescent="0.3">
      <c r="A267" s="15"/>
      <c r="B267" s="19" t="s">
        <v>235</v>
      </c>
      <c r="C267" s="16"/>
      <c r="D267" s="16"/>
      <c r="E267" s="16"/>
      <c r="F267" s="16">
        <v>0</v>
      </c>
      <c r="G267" s="20">
        <v>0</v>
      </c>
      <c r="H267" s="20">
        <v>0</v>
      </c>
      <c r="I267" s="20">
        <v>0</v>
      </c>
    </row>
    <row r="268" spans="1:10" ht="16.899999999999999" customHeight="1" x14ac:dyDescent="0.3">
      <c r="A268" s="15"/>
      <c r="B268" s="15"/>
      <c r="C268" s="15"/>
      <c r="D268" s="15"/>
      <c r="E268" s="15"/>
      <c r="F268" s="15"/>
      <c r="G268" s="15"/>
      <c r="H268" s="15"/>
      <c r="I268" s="15"/>
    </row>
    <row r="269" spans="1:10" ht="16.899999999999999" customHeight="1" x14ac:dyDescent="0.3">
      <c r="A269" s="15"/>
      <c r="B269" s="19" t="s">
        <v>236</v>
      </c>
      <c r="C269" s="20">
        <v>-19000</v>
      </c>
      <c r="D269" s="20">
        <v>200000</v>
      </c>
      <c r="E269" s="20">
        <v>108000</v>
      </c>
      <c r="F269" s="20">
        <v>381000</v>
      </c>
      <c r="G269" s="20">
        <v>129000</v>
      </c>
      <c r="H269" s="20">
        <v>106000</v>
      </c>
      <c r="I269" s="20">
        <v>-66000</v>
      </c>
      <c r="J269" s="26" t="s">
        <v>437</v>
      </c>
    </row>
    <row r="270" spans="1:10" ht="16.899999999999999" customHeight="1" x14ac:dyDescent="0.3">
      <c r="A270" s="15"/>
      <c r="B270" s="19" t="s">
        <v>237</v>
      </c>
      <c r="C270" s="20">
        <v>0</v>
      </c>
      <c r="D270" s="20">
        <v>228000</v>
      </c>
      <c r="E270" s="20">
        <v>132000</v>
      </c>
      <c r="F270" s="20">
        <v>441000</v>
      </c>
      <c r="G270" s="20">
        <v>163000</v>
      </c>
      <c r="H270" s="20">
        <v>130000</v>
      </c>
      <c r="I270" s="20">
        <v>48000</v>
      </c>
    </row>
    <row r="271" spans="1:10" ht="16.899999999999999" customHeight="1" x14ac:dyDescent="0.3">
      <c r="A271" s="15"/>
      <c r="B271" s="19" t="s">
        <v>238</v>
      </c>
      <c r="C271" s="16">
        <v>0</v>
      </c>
      <c r="D271" s="20"/>
      <c r="E271" s="16"/>
      <c r="F271" s="16"/>
      <c r="G271" s="16"/>
      <c r="H271" s="16"/>
      <c r="I271" s="20">
        <v>1000</v>
      </c>
    </row>
    <row r="272" spans="1:10" ht="16.899999999999999" customHeight="1" x14ac:dyDescent="0.3">
      <c r="A272" s="15"/>
      <c r="B272" s="19" t="s">
        <v>239</v>
      </c>
      <c r="C272" s="20">
        <v>19000</v>
      </c>
      <c r="D272" s="20">
        <v>28000</v>
      </c>
      <c r="E272" s="20">
        <v>24000</v>
      </c>
      <c r="F272" s="20">
        <v>60000</v>
      </c>
      <c r="G272" s="20">
        <v>34000</v>
      </c>
      <c r="H272" s="20">
        <v>24000</v>
      </c>
      <c r="I272" s="20">
        <v>114000</v>
      </c>
    </row>
    <row r="273" spans="1:10" ht="16.899999999999999" customHeight="1" x14ac:dyDescent="0.3">
      <c r="A273" s="15"/>
      <c r="B273" s="19" t="s">
        <v>240</v>
      </c>
      <c r="C273" s="20"/>
      <c r="D273" s="20"/>
      <c r="E273" s="16"/>
      <c r="F273" s="16"/>
      <c r="G273" s="16"/>
      <c r="H273" s="16"/>
      <c r="I273" s="16"/>
    </row>
    <row r="274" spans="1:10" ht="16.899999999999999" customHeight="1" x14ac:dyDescent="0.3">
      <c r="A274" s="15"/>
      <c r="B274" s="19" t="s">
        <v>241</v>
      </c>
      <c r="C274" s="20"/>
      <c r="D274" s="20"/>
      <c r="E274" s="16"/>
      <c r="F274" s="16"/>
      <c r="G274" s="16"/>
      <c r="H274" s="16"/>
      <c r="I274" s="16"/>
    </row>
    <row r="275" spans="1:10" ht="16.899999999999999" customHeight="1" x14ac:dyDescent="0.3">
      <c r="A275" s="15"/>
      <c r="B275" s="15"/>
      <c r="C275" s="15"/>
      <c r="D275" s="15"/>
      <c r="E275" s="15"/>
      <c r="F275" s="15"/>
      <c r="G275" s="15"/>
      <c r="H275" s="15"/>
      <c r="I275" s="15"/>
    </row>
    <row r="276" spans="1:10" ht="16.899999999999999" customHeight="1" x14ac:dyDescent="0.3">
      <c r="A276" s="15"/>
      <c r="B276" s="19" t="s">
        <v>242</v>
      </c>
      <c r="C276" s="20">
        <v>3538000</v>
      </c>
      <c r="D276" s="20">
        <v>3990000</v>
      </c>
      <c r="E276" s="20">
        <v>4110000</v>
      </c>
      <c r="F276" s="20">
        <v>2625000</v>
      </c>
      <c r="G276" s="20">
        <v>4504000</v>
      </c>
      <c r="H276" s="20">
        <v>4382000</v>
      </c>
      <c r="I276" s="20">
        <v>3984000</v>
      </c>
    </row>
    <row r="277" spans="1:10" ht="27.65" customHeight="1" x14ac:dyDescent="0.3">
      <c r="A277" s="15"/>
      <c r="B277" s="19" t="s">
        <v>243</v>
      </c>
      <c r="C277" s="20">
        <v>1085000</v>
      </c>
      <c r="D277" s="20">
        <v>1192000</v>
      </c>
      <c r="E277" s="20">
        <v>1041000</v>
      </c>
      <c r="F277" s="20">
        <v>776000</v>
      </c>
      <c r="G277" s="20">
        <v>508000</v>
      </c>
      <c r="H277" s="20">
        <v>591000</v>
      </c>
      <c r="I277" s="20">
        <v>0</v>
      </c>
    </row>
    <row r="278" spans="1:10" ht="16.899999999999999" customHeight="1" x14ac:dyDescent="0.3">
      <c r="A278" s="15"/>
      <c r="B278" s="19" t="s">
        <v>244</v>
      </c>
      <c r="C278" s="16">
        <v>1280000</v>
      </c>
      <c r="D278" s="20">
        <v>1363000</v>
      </c>
      <c r="E278" s="20">
        <v>1180000</v>
      </c>
      <c r="F278" s="20">
        <v>919000</v>
      </c>
      <c r="G278" s="20">
        <v>690000</v>
      </c>
      <c r="H278" s="20">
        <v>1041000</v>
      </c>
      <c r="I278" s="20">
        <v>509000</v>
      </c>
      <c r="J278" s="26" t="s">
        <v>439</v>
      </c>
    </row>
    <row r="279" spans="1:10" ht="16.899999999999999" customHeight="1" x14ac:dyDescent="0.3">
      <c r="A279" s="15"/>
      <c r="B279" s="19" t="s">
        <v>245</v>
      </c>
      <c r="C279" s="16"/>
      <c r="D279" s="16"/>
      <c r="E279" s="16"/>
      <c r="F279" s="16">
        <v>146000</v>
      </c>
      <c r="G279" s="20">
        <v>-1000</v>
      </c>
      <c r="H279" s="20">
        <v>-191000</v>
      </c>
      <c r="I279" s="20">
        <v>-138000</v>
      </c>
      <c r="J279" s="26" t="s">
        <v>439</v>
      </c>
    </row>
    <row r="280" spans="1:10" ht="16.899999999999999" customHeight="1" x14ac:dyDescent="0.3">
      <c r="A280" s="15"/>
      <c r="B280" s="19" t="s">
        <v>246</v>
      </c>
      <c r="C280" s="20">
        <v>-195000</v>
      </c>
      <c r="D280" s="20">
        <v>-171000</v>
      </c>
      <c r="E280" s="20">
        <v>-139000</v>
      </c>
      <c r="F280" s="20">
        <v>-289000</v>
      </c>
      <c r="G280" s="20">
        <v>-181000</v>
      </c>
      <c r="H280" s="20">
        <v>-259000</v>
      </c>
      <c r="I280" s="20">
        <v>-371000</v>
      </c>
      <c r="J280" s="26" t="s">
        <v>439</v>
      </c>
    </row>
    <row r="281" spans="1:10" ht="16.899999999999999" customHeight="1" x14ac:dyDescent="0.3">
      <c r="A281" s="15"/>
      <c r="B281" s="19" t="s">
        <v>247</v>
      </c>
      <c r="C281" s="20"/>
      <c r="D281" s="20"/>
      <c r="E281" s="20"/>
      <c r="F281" s="20"/>
      <c r="G281" s="16">
        <v>0</v>
      </c>
      <c r="H281" s="20">
        <v>0</v>
      </c>
      <c r="I281" s="20">
        <v>0</v>
      </c>
    </row>
    <row r="282" spans="1:10" ht="16.899999999999999" customHeight="1" x14ac:dyDescent="0.3">
      <c r="A282" s="15"/>
      <c r="B282" s="19" t="s">
        <v>248</v>
      </c>
      <c r="C282" s="16">
        <v>-195000</v>
      </c>
      <c r="D282" s="16">
        <v>-171000</v>
      </c>
      <c r="E282" s="16">
        <v>-139000</v>
      </c>
      <c r="F282" s="16"/>
      <c r="G282" s="16">
        <v>-181000</v>
      </c>
      <c r="H282" s="20">
        <v>-259000</v>
      </c>
      <c r="I282" s="20">
        <v>-371000</v>
      </c>
    </row>
    <row r="283" spans="1:10" ht="27.65" customHeight="1" x14ac:dyDescent="0.3">
      <c r="A283" s="15"/>
      <c r="B283" s="19" t="s">
        <v>249</v>
      </c>
      <c r="C283" s="16"/>
      <c r="D283" s="16"/>
      <c r="E283" s="16"/>
      <c r="F283" s="16"/>
      <c r="G283" s="16">
        <v>0</v>
      </c>
      <c r="H283" s="16">
        <v>0</v>
      </c>
      <c r="I283" s="16">
        <v>0</v>
      </c>
    </row>
    <row r="284" spans="1:10" ht="16.899999999999999" customHeight="1" x14ac:dyDescent="0.3">
      <c r="A284" s="15"/>
      <c r="B284" s="15"/>
      <c r="C284" s="15"/>
      <c r="D284" s="15"/>
      <c r="E284" s="15"/>
      <c r="F284" s="15"/>
      <c r="G284" s="15"/>
      <c r="H284" s="15"/>
      <c r="I284" s="15"/>
    </row>
    <row r="285" spans="1:10" ht="16.899999999999999" customHeight="1" x14ac:dyDescent="0.3">
      <c r="A285" s="15"/>
      <c r="B285" s="19" t="s">
        <v>250</v>
      </c>
      <c r="C285" s="20">
        <v>2453000</v>
      </c>
      <c r="D285" s="20">
        <v>2798000</v>
      </c>
      <c r="E285" s="20">
        <v>3069000</v>
      </c>
      <c r="F285" s="20">
        <v>1849000</v>
      </c>
      <c r="G285" s="20">
        <v>3996000</v>
      </c>
      <c r="H285" s="20">
        <v>3791000</v>
      </c>
      <c r="I285" s="20">
        <v>3984000</v>
      </c>
    </row>
    <row r="286" spans="1:10" ht="16.899999999999999" customHeight="1" x14ac:dyDescent="0.3">
      <c r="A286" s="15"/>
      <c r="B286" s="19" t="s">
        <v>251</v>
      </c>
      <c r="C286" s="20"/>
      <c r="D286" s="20"/>
      <c r="E286" s="20"/>
      <c r="F286" s="20"/>
      <c r="G286" s="20"/>
      <c r="H286" s="20"/>
      <c r="I286" s="20"/>
    </row>
    <row r="287" spans="1:10" ht="27.65" customHeight="1" x14ac:dyDescent="0.3">
      <c r="A287" s="15"/>
      <c r="B287" s="19" t="s">
        <v>252</v>
      </c>
      <c r="C287" s="20">
        <v>2453000</v>
      </c>
      <c r="D287" s="20">
        <v>2798000</v>
      </c>
      <c r="E287" s="20">
        <v>3069000</v>
      </c>
      <c r="F287" s="20">
        <v>1849000</v>
      </c>
      <c r="G287" s="20">
        <v>3996000</v>
      </c>
      <c r="H287" s="20">
        <v>3791000</v>
      </c>
      <c r="I287" s="20">
        <v>3984000</v>
      </c>
    </row>
    <row r="288" spans="1:10" ht="16.899999999999999" customHeight="1" x14ac:dyDescent="0.3">
      <c r="A288" s="15"/>
      <c r="B288" s="15"/>
      <c r="C288" s="15"/>
      <c r="D288" s="15"/>
      <c r="E288" s="15"/>
      <c r="F288" s="15"/>
      <c r="G288" s="15"/>
      <c r="H288" s="15"/>
      <c r="I288" s="15"/>
    </row>
    <row r="289" spans="1:9" ht="16.899999999999999" customHeight="1" x14ac:dyDescent="0.3">
      <c r="A289" s="15"/>
      <c r="B289" s="19" t="s">
        <v>253</v>
      </c>
      <c r="C289" s="25">
        <v>110</v>
      </c>
      <c r="D289" s="25">
        <v>105</v>
      </c>
      <c r="E289" s="25">
        <v>94</v>
      </c>
      <c r="F289" s="25">
        <v>103</v>
      </c>
      <c r="G289" s="25">
        <v>96</v>
      </c>
      <c r="H289" s="25">
        <v>95</v>
      </c>
      <c r="I289" s="25">
        <v>119</v>
      </c>
    </row>
    <row r="290" spans="1:9" ht="16.899999999999999" customHeight="1" x14ac:dyDescent="0.3">
      <c r="A290" s="15"/>
      <c r="B290" s="15"/>
      <c r="C290" s="15"/>
      <c r="D290" s="15"/>
      <c r="E290" s="15"/>
      <c r="F290" s="15"/>
      <c r="G290" s="15"/>
      <c r="H290" s="15"/>
      <c r="I290" s="15"/>
    </row>
  </sheetData>
  <pageMargins left="0.7" right="0.7" top="0.75" bottom="0.75" header="0.3" footer="0.3"/>
  <pageSetup paperSize="8" scale="32" fitToWidth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11EF5-EC41-4561-9D26-DF901FB20D46}">
  <sheetPr>
    <pageSetUpPr fitToPage="1"/>
  </sheetPr>
  <dimension ref="A1:I290"/>
  <sheetViews>
    <sheetView tabSelected="1" topLeftCell="A276" zoomScaleNormal="100" workbookViewId="0">
      <selection activeCell="I2" sqref="B2:I287"/>
    </sheetView>
  </sheetViews>
  <sheetFormatPr defaultRowHeight="12" x14ac:dyDescent="0.3"/>
  <cols>
    <col min="1" max="1" width="2.77734375" style="11" customWidth="1"/>
    <col min="2" max="2" width="51.77734375" style="11" customWidth="1"/>
    <col min="3" max="9" width="15.6640625" style="11" customWidth="1"/>
  </cols>
  <sheetData>
    <row r="1" spans="1:9" ht="15.65" customHeight="1" x14ac:dyDescent="0.3">
      <c r="A1" s="10"/>
    </row>
    <row r="2" spans="1:9" ht="13.15" customHeight="1" x14ac:dyDescent="0.3"/>
    <row r="3" spans="1:9" ht="29.25" customHeight="1" x14ac:dyDescent="0.3">
      <c r="A3" s="12"/>
      <c r="B3" s="13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7</v>
      </c>
      <c r="I3" s="14" t="s">
        <v>8</v>
      </c>
    </row>
    <row r="4" spans="1:9" ht="54" customHeight="1" x14ac:dyDescent="0.3">
      <c r="A4" s="15"/>
      <c r="B4" s="15"/>
      <c r="C4" s="16" t="s">
        <v>9</v>
      </c>
      <c r="D4" s="16" t="s">
        <v>9</v>
      </c>
      <c r="E4" s="16" t="s">
        <v>9</v>
      </c>
      <c r="F4" s="16" t="s">
        <v>9</v>
      </c>
      <c r="G4" s="16" t="s">
        <v>9</v>
      </c>
      <c r="H4" s="16" t="s">
        <v>9</v>
      </c>
      <c r="I4" s="16" t="s">
        <v>9</v>
      </c>
    </row>
    <row r="5" spans="1:9" ht="16.899999999999999" customHeight="1" x14ac:dyDescent="0.3">
      <c r="A5" s="17"/>
      <c r="B5" s="18" t="s">
        <v>10</v>
      </c>
      <c r="C5" s="17"/>
      <c r="D5" s="17"/>
      <c r="E5" s="17"/>
      <c r="F5" s="17"/>
      <c r="G5" s="17"/>
      <c r="H5" s="17"/>
      <c r="I5" s="17"/>
    </row>
    <row r="6" spans="1:9" ht="16.899999999999999" customHeight="1" x14ac:dyDescent="0.3">
      <c r="A6" s="15"/>
      <c r="B6" s="19" t="s">
        <v>11</v>
      </c>
      <c r="C6" s="20">
        <v>0</v>
      </c>
      <c r="D6" s="20">
        <v>0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</row>
    <row r="7" spans="1:9" ht="16.899999999999999" customHeight="1" x14ac:dyDescent="0.3">
      <c r="A7" s="15"/>
      <c r="B7" s="19" t="s">
        <v>12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</row>
    <row r="8" spans="1:9" ht="16.899999999999999" customHeight="1" x14ac:dyDescent="0.3">
      <c r="A8" s="15"/>
      <c r="B8" s="15"/>
      <c r="C8" s="15"/>
      <c r="D8" s="15"/>
      <c r="E8" s="15"/>
      <c r="F8" s="15"/>
      <c r="G8" s="15"/>
      <c r="H8" s="15"/>
      <c r="I8" s="15"/>
    </row>
    <row r="9" spans="1:9" ht="27.65" customHeight="1" x14ac:dyDescent="0.3">
      <c r="A9" s="15"/>
      <c r="B9" s="19" t="s">
        <v>13</v>
      </c>
      <c r="C9" s="20">
        <v>34503000</v>
      </c>
      <c r="D9" s="20">
        <v>44167000</v>
      </c>
      <c r="E9" s="20">
        <v>45418000</v>
      </c>
      <c r="F9" s="20">
        <v>50058000</v>
      </c>
      <c r="G9" s="20">
        <v>73726000</v>
      </c>
      <c r="H9" s="20">
        <v>76596000</v>
      </c>
      <c r="I9" s="20">
        <v>84356000</v>
      </c>
    </row>
    <row r="10" spans="1:9" ht="16.899999999999999" customHeight="1" x14ac:dyDescent="0.3">
      <c r="A10" s="15"/>
      <c r="B10" s="19" t="s">
        <v>14</v>
      </c>
      <c r="C10" s="20">
        <v>3859000</v>
      </c>
      <c r="D10" s="20">
        <v>3831000</v>
      </c>
      <c r="E10" s="20">
        <v>3838000</v>
      </c>
      <c r="F10" s="20">
        <v>3846000</v>
      </c>
      <c r="G10" s="20">
        <v>3838000</v>
      </c>
      <c r="H10" s="20">
        <v>3834000</v>
      </c>
      <c r="I10" s="20">
        <v>3824000</v>
      </c>
    </row>
    <row r="11" spans="1:9" ht="16.899999999999999" customHeight="1" x14ac:dyDescent="0.3">
      <c r="A11" s="15"/>
      <c r="B11" s="19" t="s">
        <v>15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</row>
    <row r="12" spans="1:9" ht="16.899999999999999" customHeight="1" x14ac:dyDescent="0.3">
      <c r="A12" s="15"/>
      <c r="B12" s="19" t="s">
        <v>16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</row>
    <row r="13" spans="1:9" ht="16.899999999999999" customHeight="1" x14ac:dyDescent="0.3">
      <c r="A13" s="15"/>
      <c r="B13" s="19" t="s">
        <v>17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</row>
    <row r="14" spans="1:9" ht="16.899999999999999" customHeight="1" x14ac:dyDescent="0.3">
      <c r="A14" s="15"/>
      <c r="B14" s="19" t="s">
        <v>18</v>
      </c>
      <c r="C14" s="20">
        <v>38000</v>
      </c>
      <c r="D14" s="20">
        <v>10000</v>
      </c>
      <c r="E14" s="20">
        <v>17000</v>
      </c>
      <c r="F14" s="20">
        <v>25000</v>
      </c>
      <c r="G14" s="20">
        <v>17000</v>
      </c>
      <c r="H14" s="20">
        <v>13000</v>
      </c>
      <c r="I14" s="20">
        <v>3000</v>
      </c>
    </row>
    <row r="15" spans="1:9" ht="16.899999999999999" customHeight="1" x14ac:dyDescent="0.3">
      <c r="A15" s="15"/>
      <c r="B15" s="19" t="s">
        <v>19</v>
      </c>
      <c r="C15" s="20">
        <v>3821000</v>
      </c>
      <c r="D15" s="20">
        <v>3821000</v>
      </c>
      <c r="E15" s="20">
        <v>3821000</v>
      </c>
      <c r="F15" s="20">
        <v>0</v>
      </c>
      <c r="G15" s="20">
        <v>3821000</v>
      </c>
      <c r="H15" s="20">
        <v>3821000</v>
      </c>
      <c r="I15" s="20">
        <v>3821000</v>
      </c>
    </row>
    <row r="16" spans="1:9" ht="16.899999999999999" customHeight="1" x14ac:dyDescent="0.3">
      <c r="A16" s="15"/>
      <c r="B16" s="19" t="s">
        <v>20</v>
      </c>
      <c r="C16" s="20">
        <v>3821000</v>
      </c>
      <c r="D16" s="20">
        <v>3821000</v>
      </c>
      <c r="E16" s="20">
        <v>3821000</v>
      </c>
      <c r="F16" s="20"/>
      <c r="G16" s="16">
        <v>3821000</v>
      </c>
      <c r="H16" s="16">
        <v>3821000</v>
      </c>
      <c r="I16" s="16">
        <v>3821000</v>
      </c>
    </row>
    <row r="17" spans="1:9" ht="16.899999999999999" customHeight="1" x14ac:dyDescent="0.3">
      <c r="A17" s="15"/>
      <c r="B17" s="19" t="s">
        <v>21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</row>
    <row r="18" spans="1:9" ht="16.899999999999999" customHeight="1" x14ac:dyDescent="0.3">
      <c r="A18" s="15"/>
      <c r="B18" s="19" t="s">
        <v>22</v>
      </c>
      <c r="C18" s="20">
        <v>0</v>
      </c>
      <c r="D18" s="20">
        <v>0</v>
      </c>
      <c r="E18" s="20">
        <v>0</v>
      </c>
      <c r="F18" s="20">
        <v>3821000</v>
      </c>
      <c r="G18" s="20">
        <v>0</v>
      </c>
      <c r="H18" s="20">
        <v>0</v>
      </c>
      <c r="I18" s="20">
        <v>0</v>
      </c>
    </row>
    <row r="19" spans="1:9" ht="16.899999999999999" customHeight="1" x14ac:dyDescent="0.3">
      <c r="A19" s="15"/>
      <c r="B19" s="19" t="s">
        <v>23</v>
      </c>
      <c r="C19" s="16">
        <v>333000</v>
      </c>
      <c r="D19" s="16">
        <v>379000</v>
      </c>
      <c r="E19" s="16">
        <v>382000</v>
      </c>
      <c r="F19" s="16">
        <v>378000</v>
      </c>
      <c r="G19" s="16"/>
      <c r="H19" s="16">
        <v>430000</v>
      </c>
      <c r="I19" s="16"/>
    </row>
    <row r="20" spans="1:9" ht="16.899999999999999" customHeight="1" x14ac:dyDescent="0.3">
      <c r="A20" s="15"/>
      <c r="B20" s="15"/>
      <c r="C20" s="15"/>
      <c r="D20" s="15"/>
      <c r="E20" s="15"/>
      <c r="F20" s="15"/>
      <c r="G20" s="15"/>
      <c r="H20" s="15"/>
      <c r="I20" s="15"/>
    </row>
    <row r="21" spans="1:9" ht="16.899999999999999" customHeight="1" x14ac:dyDescent="0.3">
      <c r="A21" s="15"/>
      <c r="B21" s="19" t="s">
        <v>24</v>
      </c>
      <c r="C21" s="20">
        <v>17960000</v>
      </c>
      <c r="D21" s="20">
        <v>25718000</v>
      </c>
      <c r="E21" s="20">
        <v>27100000</v>
      </c>
      <c r="F21" s="20">
        <v>31281000</v>
      </c>
      <c r="G21" s="20">
        <v>31257000</v>
      </c>
      <c r="H21" s="20">
        <v>31453000</v>
      </c>
      <c r="I21" s="20">
        <v>35954000</v>
      </c>
    </row>
    <row r="22" spans="1:9" ht="27.65" customHeight="1" x14ac:dyDescent="0.3">
      <c r="A22" s="15"/>
      <c r="B22" s="19" t="s">
        <v>25</v>
      </c>
      <c r="C22" s="16"/>
      <c r="D22" s="16"/>
      <c r="E22" s="16"/>
      <c r="F22" s="16"/>
      <c r="G22" s="16"/>
      <c r="H22" s="16"/>
      <c r="I22" s="16"/>
    </row>
    <row r="23" spans="1:9" ht="16.899999999999999" customHeight="1" x14ac:dyDescent="0.3">
      <c r="A23" s="15"/>
      <c r="B23" s="19" t="s">
        <v>26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</row>
    <row r="24" spans="1:9" ht="16.899999999999999" customHeight="1" x14ac:dyDescent="0.3">
      <c r="A24" s="15"/>
      <c r="B24" s="19" t="s">
        <v>27</v>
      </c>
      <c r="C24" s="20">
        <v>14704000</v>
      </c>
      <c r="D24" s="20">
        <v>0</v>
      </c>
      <c r="E24" s="20">
        <v>18668000</v>
      </c>
      <c r="F24" s="20">
        <v>26000000</v>
      </c>
      <c r="G24" s="20">
        <v>24835000</v>
      </c>
      <c r="H24" s="20">
        <v>20527000</v>
      </c>
      <c r="I24" s="20">
        <v>28887000</v>
      </c>
    </row>
    <row r="25" spans="1:9" ht="16.899999999999999" customHeight="1" x14ac:dyDescent="0.3">
      <c r="A25" s="15"/>
      <c r="B25" s="19" t="s">
        <v>28</v>
      </c>
      <c r="C25" s="20">
        <v>696000</v>
      </c>
      <c r="D25" s="20">
        <v>0</v>
      </c>
      <c r="E25" s="20">
        <v>1407000</v>
      </c>
      <c r="F25" s="20">
        <v>1700000</v>
      </c>
      <c r="G25" s="20">
        <v>1609000</v>
      </c>
      <c r="H25" s="20">
        <v>1694000</v>
      </c>
      <c r="I25" s="20">
        <v>2132000</v>
      </c>
    </row>
    <row r="26" spans="1:9" ht="16.899999999999999" customHeight="1" x14ac:dyDescent="0.3">
      <c r="A26" s="15"/>
      <c r="B26" s="19" t="s">
        <v>29</v>
      </c>
      <c r="C26" s="20">
        <v>2560000</v>
      </c>
      <c r="D26" s="20">
        <v>25718000</v>
      </c>
      <c r="E26" s="20">
        <v>4195000</v>
      </c>
      <c r="F26" s="20">
        <v>3523000</v>
      </c>
      <c r="G26" s="20">
        <v>2935000</v>
      </c>
      <c r="H26" s="20">
        <v>2321000</v>
      </c>
      <c r="I26" s="20">
        <v>3289000</v>
      </c>
    </row>
    <row r="27" spans="1:9" ht="16.899999999999999" customHeight="1" x14ac:dyDescent="0.3">
      <c r="A27" s="15"/>
      <c r="B27" s="19" t="s">
        <v>30</v>
      </c>
      <c r="C27" s="20">
        <v>0</v>
      </c>
      <c r="D27" s="20">
        <v>0</v>
      </c>
      <c r="E27" s="20">
        <v>2830000</v>
      </c>
      <c r="F27" s="20">
        <v>58000</v>
      </c>
      <c r="G27" s="20">
        <v>1878000</v>
      </c>
      <c r="H27" s="20">
        <v>6911000</v>
      </c>
      <c r="I27" s="20">
        <v>1646000</v>
      </c>
    </row>
    <row r="28" spans="1:9" ht="16.899999999999999" customHeight="1" x14ac:dyDescent="0.3">
      <c r="A28" s="15"/>
      <c r="B28" s="19" t="s">
        <v>31</v>
      </c>
      <c r="C28" s="20">
        <v>25896000</v>
      </c>
      <c r="D28" s="20">
        <v>30623000</v>
      </c>
      <c r="E28" s="16">
        <v>32691000</v>
      </c>
      <c r="F28" s="16">
        <v>32181000</v>
      </c>
      <c r="G28" s="20">
        <v>37337000</v>
      </c>
      <c r="H28" s="20">
        <v>43318000</v>
      </c>
      <c r="I28" s="20">
        <v>43689000</v>
      </c>
    </row>
    <row r="29" spans="1:9" ht="16.899999999999999" customHeight="1" x14ac:dyDescent="0.3">
      <c r="A29" s="15"/>
      <c r="B29" s="15"/>
      <c r="C29" s="15"/>
      <c r="D29" s="15"/>
      <c r="E29" s="15"/>
      <c r="F29" s="15"/>
      <c r="G29" s="15"/>
      <c r="H29" s="15"/>
      <c r="I29" s="15"/>
    </row>
    <row r="30" spans="1:9" ht="16.899999999999999" customHeight="1" x14ac:dyDescent="0.3">
      <c r="A30" s="15"/>
      <c r="B30" s="19" t="s">
        <v>32</v>
      </c>
      <c r="C30" s="20">
        <v>12684000</v>
      </c>
      <c r="D30" s="20">
        <v>14618000</v>
      </c>
      <c r="E30" s="20">
        <v>14480000</v>
      </c>
      <c r="F30" s="20">
        <v>14931000</v>
      </c>
      <c r="G30" s="20">
        <v>38631000</v>
      </c>
      <c r="H30" s="20">
        <v>41309000</v>
      </c>
      <c r="I30" s="21">
        <v>44578000</v>
      </c>
    </row>
    <row r="31" spans="1:9" ht="16.899999999999999" customHeight="1" x14ac:dyDescent="0.3">
      <c r="A31" s="15"/>
      <c r="B31" s="19" t="s">
        <v>33</v>
      </c>
      <c r="C31" s="16"/>
      <c r="D31" s="16"/>
      <c r="E31" s="16"/>
      <c r="F31" s="16"/>
      <c r="G31" s="16">
        <v>136000</v>
      </c>
      <c r="H31" s="20">
        <v>281000</v>
      </c>
      <c r="I31" s="20">
        <v>0</v>
      </c>
    </row>
    <row r="32" spans="1:9" ht="16.899999999999999" customHeight="1" x14ac:dyDescent="0.3">
      <c r="A32" s="15"/>
      <c r="B32" s="19" t="s">
        <v>34</v>
      </c>
      <c r="C32" s="20">
        <v>8626000</v>
      </c>
      <c r="D32" s="20">
        <v>11723000</v>
      </c>
      <c r="E32" s="20">
        <v>12672000</v>
      </c>
      <c r="F32" s="20">
        <v>14920000</v>
      </c>
      <c r="G32" s="20">
        <v>38484000</v>
      </c>
      <c r="H32" s="20">
        <v>41017000</v>
      </c>
      <c r="I32" s="21">
        <v>44567000</v>
      </c>
    </row>
    <row r="33" spans="1:9" ht="16.899999999999999" customHeight="1" x14ac:dyDescent="0.3">
      <c r="A33" s="15"/>
      <c r="B33" s="19" t="s">
        <v>35</v>
      </c>
      <c r="C33" s="20">
        <v>8621000</v>
      </c>
      <c r="D33" s="20">
        <v>11667000</v>
      </c>
      <c r="E33" s="20">
        <v>12616000</v>
      </c>
      <c r="F33" s="20">
        <v>14914000</v>
      </c>
      <c r="G33" s="20">
        <v>38478000</v>
      </c>
      <c r="H33" s="20">
        <v>41012000</v>
      </c>
      <c r="I33" s="20">
        <v>44562000</v>
      </c>
    </row>
    <row r="34" spans="1:9" ht="16.899999999999999" customHeight="1" x14ac:dyDescent="0.3">
      <c r="A34" s="15"/>
      <c r="B34" s="19" t="s">
        <v>36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</row>
    <row r="35" spans="1:9" ht="16.899999999999999" customHeight="1" x14ac:dyDescent="0.3">
      <c r="A35" s="15"/>
      <c r="B35" s="19" t="s">
        <v>37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</row>
    <row r="36" spans="1:9" ht="27.65" customHeight="1" x14ac:dyDescent="0.3">
      <c r="A36" s="15"/>
      <c r="B36" s="19" t="s">
        <v>38</v>
      </c>
      <c r="C36" s="16"/>
      <c r="D36" s="16"/>
      <c r="E36" s="16"/>
      <c r="F36" s="16">
        <v>0</v>
      </c>
      <c r="G36" s="20">
        <v>0</v>
      </c>
      <c r="H36" s="20">
        <v>0</v>
      </c>
      <c r="I36" s="20">
        <v>0</v>
      </c>
    </row>
    <row r="37" spans="1:9" ht="16.899999999999999" customHeight="1" x14ac:dyDescent="0.3">
      <c r="A37" s="15"/>
      <c r="B37" s="19" t="s">
        <v>39</v>
      </c>
      <c r="C37" s="20">
        <v>5000</v>
      </c>
      <c r="D37" s="20">
        <v>56000</v>
      </c>
      <c r="E37" s="20">
        <v>56000</v>
      </c>
      <c r="F37" s="20">
        <v>6000</v>
      </c>
      <c r="G37" s="20">
        <v>6000</v>
      </c>
      <c r="H37" s="20">
        <v>5000</v>
      </c>
      <c r="I37" s="20">
        <v>5000</v>
      </c>
    </row>
    <row r="38" spans="1:9" ht="16.899999999999999" customHeight="1" x14ac:dyDescent="0.3">
      <c r="A38" s="15"/>
      <c r="B38" s="19" t="s">
        <v>40</v>
      </c>
      <c r="C38" s="20">
        <v>4058000</v>
      </c>
      <c r="D38" s="20">
        <v>2895000</v>
      </c>
      <c r="E38" s="20">
        <v>1808000</v>
      </c>
      <c r="F38" s="20">
        <v>11000</v>
      </c>
      <c r="G38" s="20">
        <v>147000</v>
      </c>
      <c r="H38" s="20">
        <v>292000</v>
      </c>
      <c r="I38" s="20">
        <v>11000</v>
      </c>
    </row>
    <row r="39" spans="1:9" ht="16.899999999999999" customHeight="1" x14ac:dyDescent="0.3">
      <c r="A39" s="15"/>
      <c r="B39" s="19" t="s">
        <v>41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</row>
    <row r="40" spans="1:9" ht="16.899999999999999" customHeight="1" x14ac:dyDescent="0.3">
      <c r="A40" s="15"/>
      <c r="B40" s="19" t="s">
        <v>42</v>
      </c>
      <c r="C40" s="20">
        <v>4052000</v>
      </c>
      <c r="D40" s="20">
        <v>2750000</v>
      </c>
      <c r="E40" s="20">
        <v>1750000</v>
      </c>
      <c r="F40" s="20">
        <v>0</v>
      </c>
      <c r="G40" s="20">
        <v>0</v>
      </c>
      <c r="H40" s="20">
        <v>0</v>
      </c>
      <c r="I40" s="20">
        <v>0</v>
      </c>
    </row>
    <row r="41" spans="1:9" ht="16.899999999999999" customHeight="1" x14ac:dyDescent="0.3">
      <c r="A41" s="15"/>
      <c r="B41" s="19" t="s">
        <v>43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</row>
    <row r="42" spans="1:9" ht="16.899999999999999" customHeight="1" x14ac:dyDescent="0.3">
      <c r="A42" s="15"/>
      <c r="B42" s="19" t="s">
        <v>44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</row>
    <row r="43" spans="1:9" ht="16.899999999999999" customHeight="1" x14ac:dyDescent="0.3">
      <c r="A43" s="15"/>
      <c r="B43" s="19" t="s">
        <v>45</v>
      </c>
      <c r="C43" s="20">
        <v>0</v>
      </c>
      <c r="D43" s="20">
        <v>0</v>
      </c>
      <c r="E43" s="20">
        <v>0</v>
      </c>
      <c r="F43" s="20">
        <v>0</v>
      </c>
      <c r="G43" s="20">
        <v>136000</v>
      </c>
      <c r="H43" s="20">
        <v>281000</v>
      </c>
      <c r="I43" s="20">
        <v>0</v>
      </c>
    </row>
    <row r="44" spans="1:9" ht="16.899999999999999" customHeight="1" x14ac:dyDescent="0.3">
      <c r="A44" s="15"/>
      <c r="B44" s="19" t="s">
        <v>46</v>
      </c>
      <c r="C44" s="20">
        <v>0</v>
      </c>
      <c r="D44" s="20">
        <v>140000</v>
      </c>
      <c r="E44" s="20">
        <v>53000</v>
      </c>
      <c r="F44" s="20">
        <v>0</v>
      </c>
      <c r="G44" s="20">
        <v>0</v>
      </c>
      <c r="H44" s="20">
        <v>0</v>
      </c>
      <c r="I44" s="20">
        <v>0</v>
      </c>
    </row>
    <row r="45" spans="1:9" ht="27.65" customHeight="1" x14ac:dyDescent="0.3">
      <c r="A45" s="15"/>
      <c r="B45" s="19" t="s">
        <v>47</v>
      </c>
      <c r="C45" s="16"/>
      <c r="D45" s="16"/>
      <c r="E45" s="16"/>
      <c r="F45" s="16">
        <v>0</v>
      </c>
      <c r="G45" s="20">
        <v>0</v>
      </c>
      <c r="H45" s="20">
        <v>0</v>
      </c>
      <c r="I45" s="20">
        <v>0</v>
      </c>
    </row>
    <row r="46" spans="1:9" ht="27.65" customHeight="1" x14ac:dyDescent="0.3">
      <c r="A46" s="15"/>
      <c r="B46" s="19" t="s">
        <v>48</v>
      </c>
      <c r="C46" s="16"/>
      <c r="D46" s="16"/>
      <c r="E46" s="16"/>
      <c r="F46" s="16">
        <v>0</v>
      </c>
      <c r="G46" s="20">
        <v>0</v>
      </c>
      <c r="H46" s="20">
        <v>0</v>
      </c>
      <c r="I46" s="20">
        <v>0</v>
      </c>
    </row>
    <row r="47" spans="1:9" ht="16.899999999999999" customHeight="1" x14ac:dyDescent="0.3">
      <c r="A47" s="15"/>
      <c r="B47" s="19" t="s">
        <v>49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</row>
    <row r="48" spans="1:9" ht="16.899999999999999" customHeight="1" x14ac:dyDescent="0.3">
      <c r="A48" s="15"/>
      <c r="B48" s="19" t="s">
        <v>50</v>
      </c>
      <c r="C48" s="20">
        <v>6000</v>
      </c>
      <c r="D48" s="20">
        <v>5000</v>
      </c>
      <c r="E48" s="20">
        <v>5000</v>
      </c>
      <c r="F48" s="20">
        <v>11000</v>
      </c>
      <c r="G48" s="20">
        <v>11000</v>
      </c>
      <c r="H48" s="20">
        <v>11000</v>
      </c>
      <c r="I48" s="20">
        <v>11000</v>
      </c>
    </row>
    <row r="49" spans="1:9" ht="16.899999999999999" customHeight="1" x14ac:dyDescent="0.3">
      <c r="A49" s="15"/>
      <c r="B49" s="19" t="s">
        <v>51</v>
      </c>
      <c r="C49" s="20">
        <v>0</v>
      </c>
      <c r="D49" s="20">
        <v>0</v>
      </c>
      <c r="E49" s="20">
        <v>0</v>
      </c>
      <c r="F49" s="20">
        <v>0</v>
      </c>
      <c r="G49" s="20">
        <v>136000</v>
      </c>
      <c r="H49" s="20">
        <v>281000</v>
      </c>
      <c r="I49" s="20">
        <v>0</v>
      </c>
    </row>
    <row r="50" spans="1:9" ht="16.899999999999999" customHeight="1" x14ac:dyDescent="0.3">
      <c r="A50" s="15"/>
      <c r="B50" s="19" t="s">
        <v>52</v>
      </c>
      <c r="C50" s="20">
        <v>4058000</v>
      </c>
      <c r="D50" s="20">
        <v>2895000</v>
      </c>
      <c r="E50" s="20">
        <v>1808000</v>
      </c>
      <c r="F50" s="20">
        <v>11000</v>
      </c>
      <c r="G50" s="20">
        <v>11000</v>
      </c>
      <c r="H50" s="20">
        <v>11000</v>
      </c>
      <c r="I50" s="20">
        <v>11000</v>
      </c>
    </row>
    <row r="51" spans="1:9" ht="16.899999999999999" customHeight="1" x14ac:dyDescent="0.3">
      <c r="A51" s="15"/>
      <c r="B51" s="19" t="s">
        <v>53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</row>
    <row r="52" spans="1:9" ht="16.899999999999999" customHeight="1" x14ac:dyDescent="0.3">
      <c r="A52" s="15"/>
      <c r="B52" s="19" t="s">
        <v>54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</row>
    <row r="53" spans="1:9" ht="16.899999999999999" customHeight="1" x14ac:dyDescent="0.3">
      <c r="A53" s="15"/>
      <c r="B53" s="19" t="s">
        <v>55</v>
      </c>
      <c r="C53" s="16"/>
      <c r="D53" s="16"/>
      <c r="E53" s="16"/>
      <c r="F53" s="16">
        <v>0</v>
      </c>
      <c r="G53" s="20">
        <v>0</v>
      </c>
      <c r="H53" s="20">
        <v>0</v>
      </c>
      <c r="I53" s="20">
        <v>0</v>
      </c>
    </row>
    <row r="54" spans="1:9" ht="16.899999999999999" customHeight="1" x14ac:dyDescent="0.3">
      <c r="A54" s="15"/>
      <c r="B54" s="19" t="s">
        <v>56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</row>
    <row r="55" spans="1:9" ht="16.899999999999999" customHeight="1" x14ac:dyDescent="0.3">
      <c r="A55" s="15"/>
      <c r="B55" s="15"/>
      <c r="C55" s="15"/>
      <c r="D55" s="15"/>
      <c r="E55" s="15"/>
      <c r="F55" s="15"/>
      <c r="G55" s="15"/>
      <c r="H55" s="15"/>
      <c r="I55" s="15"/>
    </row>
    <row r="56" spans="1:9" ht="16.899999999999999" customHeight="1" x14ac:dyDescent="0.3">
      <c r="A56" s="15"/>
      <c r="B56" s="19" t="s">
        <v>57</v>
      </c>
      <c r="C56" s="20">
        <v>23980000</v>
      </c>
      <c r="D56" s="20">
        <v>24655000</v>
      </c>
      <c r="E56" s="20">
        <v>23407000</v>
      </c>
      <c r="F56" s="20">
        <v>23549000</v>
      </c>
      <c r="G56" s="20">
        <v>21580000</v>
      </c>
      <c r="H56" s="20">
        <v>37424000</v>
      </c>
      <c r="I56" s="20">
        <v>47021000</v>
      </c>
    </row>
    <row r="57" spans="1:9" ht="16.899999999999999" customHeight="1" x14ac:dyDescent="0.3">
      <c r="A57" s="15"/>
      <c r="B57" s="19" t="s">
        <v>58</v>
      </c>
      <c r="C57" s="20">
        <v>297000</v>
      </c>
      <c r="D57" s="20">
        <v>287000</v>
      </c>
      <c r="E57" s="20">
        <v>215000</v>
      </c>
      <c r="F57" s="20">
        <v>128000</v>
      </c>
      <c r="G57" s="20">
        <v>142000</v>
      </c>
      <c r="H57" s="20">
        <v>103000</v>
      </c>
      <c r="I57" s="20">
        <v>140000</v>
      </c>
    </row>
    <row r="58" spans="1:9" ht="16.899999999999999" customHeight="1" x14ac:dyDescent="0.3">
      <c r="A58" s="15"/>
      <c r="B58" s="19" t="s">
        <v>59</v>
      </c>
      <c r="C58" s="20">
        <v>297000</v>
      </c>
      <c r="D58" s="20">
        <v>287000</v>
      </c>
      <c r="E58" s="20">
        <v>215000</v>
      </c>
      <c r="F58" s="20">
        <v>128000</v>
      </c>
      <c r="G58" s="20">
        <v>142000</v>
      </c>
      <c r="H58" s="20">
        <v>103000</v>
      </c>
      <c r="I58" s="20">
        <v>140000</v>
      </c>
    </row>
    <row r="59" spans="1:9" ht="16.899999999999999" customHeight="1" x14ac:dyDescent="0.3">
      <c r="A59" s="15"/>
      <c r="B59" s="19" t="s">
        <v>60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</row>
    <row r="60" spans="1:9" ht="16.899999999999999" customHeight="1" x14ac:dyDescent="0.3">
      <c r="A60" s="15"/>
      <c r="B60" s="19" t="s">
        <v>61</v>
      </c>
      <c r="C60" s="20">
        <v>0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</row>
    <row r="61" spans="1:9" ht="16.899999999999999" customHeight="1" x14ac:dyDescent="0.3">
      <c r="A61" s="15"/>
      <c r="B61" s="19" t="s">
        <v>62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</row>
    <row r="62" spans="1:9" ht="16.899999999999999" customHeight="1" x14ac:dyDescent="0.3">
      <c r="A62" s="15"/>
      <c r="B62" s="19" t="s">
        <v>63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</row>
    <row r="63" spans="1:9" ht="27.65" customHeight="1" x14ac:dyDescent="0.3">
      <c r="A63" s="15"/>
      <c r="B63" s="19" t="s">
        <v>64</v>
      </c>
      <c r="C63" s="16"/>
      <c r="D63" s="16"/>
      <c r="E63" s="16"/>
      <c r="F63" s="16">
        <v>0</v>
      </c>
      <c r="G63" s="20">
        <v>0</v>
      </c>
      <c r="H63" s="20">
        <v>0</v>
      </c>
      <c r="I63" s="20">
        <v>0</v>
      </c>
    </row>
    <row r="64" spans="1:9" ht="16.899999999999999" customHeight="1" x14ac:dyDescent="0.3">
      <c r="A64" s="15"/>
      <c r="B64" s="15"/>
      <c r="C64" s="15"/>
      <c r="D64" s="15"/>
      <c r="E64" s="15"/>
      <c r="F64" s="15"/>
      <c r="G64" s="15"/>
      <c r="H64" s="15"/>
      <c r="I64" s="15"/>
    </row>
    <row r="65" spans="1:9" ht="16.899999999999999" customHeight="1" x14ac:dyDescent="0.3">
      <c r="A65" s="15"/>
      <c r="B65" s="19" t="s">
        <v>65</v>
      </c>
      <c r="C65" s="20">
        <v>23569000</v>
      </c>
      <c r="D65" s="20">
        <v>23856000</v>
      </c>
      <c r="E65" s="20">
        <v>22908000</v>
      </c>
      <c r="F65" s="20">
        <v>17539000</v>
      </c>
      <c r="G65" s="20">
        <v>19057000</v>
      </c>
      <c r="H65" s="20">
        <v>17785000</v>
      </c>
      <c r="I65" s="20">
        <v>23615000</v>
      </c>
    </row>
    <row r="66" spans="1:9" ht="16.899999999999999" customHeight="1" x14ac:dyDescent="0.3">
      <c r="A66" s="15"/>
      <c r="B66" s="19" t="s">
        <v>66</v>
      </c>
      <c r="C66" s="20">
        <v>21377000</v>
      </c>
      <c r="D66" s="20">
        <v>12897000</v>
      </c>
      <c r="E66" s="20">
        <v>12153000</v>
      </c>
      <c r="F66" s="20">
        <v>12870000</v>
      </c>
      <c r="G66" s="20">
        <v>14732000</v>
      </c>
      <c r="H66" s="20">
        <v>13653000</v>
      </c>
      <c r="I66" s="21">
        <v>17104000</v>
      </c>
    </row>
    <row r="67" spans="1:9" ht="16.899999999999999" customHeight="1" x14ac:dyDescent="0.3">
      <c r="A67" s="15"/>
      <c r="B67" s="19" t="s">
        <v>67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1">
        <v>0</v>
      </c>
    </row>
    <row r="68" spans="1:9" ht="16.899999999999999" customHeight="1" x14ac:dyDescent="0.3">
      <c r="A68" s="15"/>
      <c r="B68" s="19" t="s">
        <v>68</v>
      </c>
      <c r="C68" s="20">
        <v>0</v>
      </c>
      <c r="D68" s="20">
        <v>6842000</v>
      </c>
      <c r="E68" s="20">
        <v>8071000</v>
      </c>
      <c r="F68" s="20">
        <v>1949000</v>
      </c>
      <c r="G68" s="20">
        <v>1790000</v>
      </c>
      <c r="H68" s="20">
        <v>1627000</v>
      </c>
      <c r="I68" s="21">
        <v>2521000</v>
      </c>
    </row>
    <row r="69" spans="1:9" ht="16.899999999999999" customHeight="1" x14ac:dyDescent="0.3">
      <c r="A69" s="15"/>
      <c r="B69" s="19" t="s">
        <v>69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1">
        <v>0</v>
      </c>
    </row>
    <row r="70" spans="1:9" ht="16.899999999999999" customHeight="1" x14ac:dyDescent="0.3">
      <c r="A70" s="15"/>
      <c r="B70" s="19" t="s">
        <v>70</v>
      </c>
      <c r="C70" s="20">
        <v>302000</v>
      </c>
      <c r="D70" s="20">
        <v>499000</v>
      </c>
      <c r="E70" s="20">
        <v>0</v>
      </c>
      <c r="F70" s="20">
        <v>510000</v>
      </c>
      <c r="G70" s="20">
        <v>0</v>
      </c>
      <c r="H70" s="20">
        <v>0</v>
      </c>
      <c r="I70" s="21">
        <v>592000</v>
      </c>
    </row>
    <row r="71" spans="1:9" ht="16.899999999999999" customHeight="1" x14ac:dyDescent="0.3">
      <c r="A71" s="15"/>
      <c r="B71" s="19" t="s">
        <v>71</v>
      </c>
      <c r="C71" s="20">
        <v>0</v>
      </c>
      <c r="D71" s="20">
        <v>0</v>
      </c>
      <c r="E71" s="20">
        <v>0</v>
      </c>
      <c r="F71" s="20">
        <v>32000</v>
      </c>
      <c r="G71" s="20">
        <v>0</v>
      </c>
      <c r="H71" s="20">
        <v>0</v>
      </c>
      <c r="I71" s="21">
        <v>207000</v>
      </c>
    </row>
    <row r="72" spans="1:9" ht="16.899999999999999" customHeight="1" x14ac:dyDescent="0.3">
      <c r="A72" s="15"/>
      <c r="B72" s="19" t="s">
        <v>72</v>
      </c>
      <c r="C72" s="20">
        <v>0</v>
      </c>
      <c r="D72" s="20">
        <v>0</v>
      </c>
      <c r="E72" s="20">
        <v>21000</v>
      </c>
      <c r="F72" s="20">
        <v>0</v>
      </c>
      <c r="G72" s="20">
        <v>0</v>
      </c>
      <c r="H72" s="20">
        <v>0</v>
      </c>
      <c r="I72" s="21">
        <v>879000</v>
      </c>
    </row>
    <row r="73" spans="1:9" ht="16.899999999999999" customHeight="1" x14ac:dyDescent="0.3">
      <c r="A73" s="15"/>
      <c r="B73" s="19" t="s">
        <v>73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1">
        <v>0</v>
      </c>
    </row>
    <row r="74" spans="1:9" ht="27.65" customHeight="1" x14ac:dyDescent="0.3">
      <c r="A74" s="15"/>
      <c r="B74" s="19" t="s">
        <v>74</v>
      </c>
      <c r="C74" s="16"/>
      <c r="D74" s="16"/>
      <c r="E74" s="16"/>
      <c r="F74" s="16">
        <v>0</v>
      </c>
      <c r="G74" s="20">
        <v>0</v>
      </c>
      <c r="H74" s="20">
        <v>0</v>
      </c>
      <c r="I74" s="21">
        <v>0</v>
      </c>
    </row>
    <row r="75" spans="1:9" ht="27.65" customHeight="1" x14ac:dyDescent="0.3">
      <c r="A75" s="15"/>
      <c r="B75" s="19" t="s">
        <v>75</v>
      </c>
      <c r="C75" s="16"/>
      <c r="D75" s="16"/>
      <c r="E75" s="16"/>
      <c r="F75" s="16">
        <v>0</v>
      </c>
      <c r="G75" s="20">
        <v>0</v>
      </c>
      <c r="H75" s="20">
        <v>0</v>
      </c>
      <c r="I75" s="21">
        <v>0</v>
      </c>
    </row>
    <row r="76" spans="1:9" ht="16.899999999999999" customHeight="1" x14ac:dyDescent="0.3">
      <c r="A76" s="15"/>
      <c r="B76" s="19" t="s">
        <v>76</v>
      </c>
      <c r="C76" s="20">
        <v>1000</v>
      </c>
      <c r="D76" s="20">
        <v>1000</v>
      </c>
      <c r="E76" s="20">
        <v>241000</v>
      </c>
      <c r="F76" s="20">
        <v>52000</v>
      </c>
      <c r="G76" s="20">
        <v>155000</v>
      </c>
      <c r="H76" s="20">
        <v>57000</v>
      </c>
      <c r="I76" s="20">
        <v>117000</v>
      </c>
    </row>
    <row r="77" spans="1:9" ht="16.899999999999999" customHeight="1" x14ac:dyDescent="0.3">
      <c r="A77" s="15"/>
      <c r="B77" s="19" t="s">
        <v>77</v>
      </c>
      <c r="C77" s="20">
        <v>0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</row>
    <row r="78" spans="1:9" ht="16.899999999999999" customHeight="1" x14ac:dyDescent="0.3">
      <c r="A78" s="15"/>
      <c r="B78" s="19" t="s">
        <v>78</v>
      </c>
      <c r="C78" s="20">
        <v>0</v>
      </c>
      <c r="D78" s="20">
        <v>0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</row>
    <row r="79" spans="1:9" ht="16.899999999999999" customHeight="1" x14ac:dyDescent="0.3">
      <c r="A79" s="15"/>
      <c r="B79" s="19" t="s">
        <v>79</v>
      </c>
      <c r="C79" s="20">
        <v>849000</v>
      </c>
      <c r="D79" s="20">
        <v>1022000</v>
      </c>
      <c r="E79" s="20">
        <v>1148000</v>
      </c>
      <c r="F79" s="20">
        <v>1432000</v>
      </c>
      <c r="G79" s="20">
        <v>1613000</v>
      </c>
      <c r="H79" s="20">
        <v>1906000</v>
      </c>
      <c r="I79" s="20">
        <v>1832000</v>
      </c>
    </row>
    <row r="80" spans="1:9" ht="16.899999999999999" customHeight="1" x14ac:dyDescent="0.3">
      <c r="A80" s="15"/>
      <c r="B80" s="19" t="s">
        <v>80</v>
      </c>
      <c r="C80" s="20">
        <v>1040000</v>
      </c>
      <c r="D80" s="20">
        <v>2595000</v>
      </c>
      <c r="E80" s="20">
        <v>1274000</v>
      </c>
      <c r="F80" s="20">
        <v>694000</v>
      </c>
      <c r="G80" s="20">
        <v>767000</v>
      </c>
      <c r="H80" s="20">
        <v>542000</v>
      </c>
      <c r="I80" s="20">
        <v>363000</v>
      </c>
    </row>
    <row r="81" spans="1:9" ht="16.899999999999999" customHeight="1" x14ac:dyDescent="0.3">
      <c r="A81" s="15"/>
      <c r="B81" s="19" t="s">
        <v>81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</row>
    <row r="82" spans="1:9" ht="16.899999999999999" customHeight="1" x14ac:dyDescent="0.3">
      <c r="A82" s="15"/>
      <c r="B82" s="19" t="s">
        <v>82</v>
      </c>
      <c r="C82" s="20">
        <v>22720000</v>
      </c>
      <c r="D82" s="20">
        <v>22834000</v>
      </c>
      <c r="E82" s="20">
        <v>21760000</v>
      </c>
      <c r="F82" s="20">
        <v>16075000</v>
      </c>
      <c r="G82" s="20">
        <v>17444000</v>
      </c>
      <c r="H82" s="20">
        <v>15879000</v>
      </c>
      <c r="I82" s="20">
        <v>21576000</v>
      </c>
    </row>
    <row r="83" spans="1:9" ht="16.899999999999999" customHeight="1" x14ac:dyDescent="0.3">
      <c r="A83" s="15"/>
      <c r="B83" s="19" t="s">
        <v>83</v>
      </c>
      <c r="C83" s="16"/>
      <c r="D83" s="16"/>
      <c r="E83" s="16"/>
      <c r="F83" s="16"/>
      <c r="G83" s="16"/>
      <c r="H83" s="16"/>
      <c r="I83" s="16"/>
    </row>
    <row r="84" spans="1:9" ht="16.899999999999999" customHeight="1" x14ac:dyDescent="0.3">
      <c r="A84" s="15"/>
      <c r="B84" s="19" t="s">
        <v>84</v>
      </c>
      <c r="C84" s="20">
        <v>849000</v>
      </c>
      <c r="D84" s="20">
        <v>1022000</v>
      </c>
      <c r="E84" s="20">
        <v>1148000</v>
      </c>
      <c r="F84" s="20">
        <v>1464000</v>
      </c>
      <c r="G84" s="20">
        <v>1613000</v>
      </c>
      <c r="H84" s="20">
        <v>1906000</v>
      </c>
      <c r="I84" s="20">
        <v>2039000</v>
      </c>
    </row>
    <row r="85" spans="1:9" ht="16.899999999999999" customHeight="1" x14ac:dyDescent="0.3">
      <c r="A85" s="15"/>
      <c r="B85" s="15"/>
      <c r="C85" s="15"/>
      <c r="D85" s="15"/>
      <c r="E85" s="15"/>
      <c r="F85" s="15"/>
      <c r="G85" s="15"/>
      <c r="H85" s="15"/>
      <c r="I85" s="15"/>
    </row>
    <row r="86" spans="1:9" ht="16.899999999999999" customHeight="1" x14ac:dyDescent="0.3">
      <c r="A86" s="15"/>
      <c r="B86" s="19" t="s">
        <v>85</v>
      </c>
      <c r="C86" s="20">
        <v>3000</v>
      </c>
      <c r="D86" s="20">
        <v>2000</v>
      </c>
      <c r="E86" s="20">
        <v>1000</v>
      </c>
      <c r="F86" s="20">
        <v>2894000</v>
      </c>
      <c r="G86" s="20">
        <v>2044000</v>
      </c>
      <c r="H86" s="20">
        <v>19331000</v>
      </c>
      <c r="I86" s="21">
        <v>23165000</v>
      </c>
    </row>
    <row r="87" spans="1:9" ht="16.899999999999999" customHeight="1" x14ac:dyDescent="0.3">
      <c r="A87" s="15"/>
      <c r="B87" s="19" t="s">
        <v>86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</row>
    <row r="88" spans="1:9" ht="16.899999999999999" customHeight="1" x14ac:dyDescent="0.3">
      <c r="A88" s="15"/>
      <c r="B88" s="19" t="s">
        <v>87</v>
      </c>
      <c r="C88" s="20">
        <v>0</v>
      </c>
      <c r="D88" s="20">
        <v>0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</row>
    <row r="89" spans="1:9" ht="16.899999999999999" customHeight="1" x14ac:dyDescent="0.3">
      <c r="A89" s="15"/>
      <c r="B89" s="19" t="s">
        <v>88</v>
      </c>
      <c r="C89" s="20">
        <v>0</v>
      </c>
      <c r="D89" s="20">
        <v>0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</row>
    <row r="90" spans="1:9" ht="27.65" customHeight="1" x14ac:dyDescent="0.3">
      <c r="A90" s="15"/>
      <c r="B90" s="19" t="s">
        <v>89</v>
      </c>
      <c r="C90" s="16"/>
      <c r="D90" s="16"/>
      <c r="E90" s="16"/>
      <c r="F90" s="16">
        <v>0</v>
      </c>
      <c r="G90" s="20">
        <v>0</v>
      </c>
      <c r="H90" s="20">
        <v>0</v>
      </c>
      <c r="I90" s="20">
        <v>0</v>
      </c>
    </row>
    <row r="91" spans="1:9" ht="16.899999999999999" customHeight="1" x14ac:dyDescent="0.3">
      <c r="A91" s="15"/>
      <c r="B91" s="19" t="s">
        <v>90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</row>
    <row r="92" spans="1:9" ht="16.899999999999999" customHeight="1" x14ac:dyDescent="0.3">
      <c r="A92" s="15"/>
      <c r="B92" s="19" t="s">
        <v>91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</row>
    <row r="93" spans="1:9" ht="16.899999999999999" customHeight="1" x14ac:dyDescent="0.3">
      <c r="A93" s="15"/>
      <c r="B93" s="19" t="s">
        <v>56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</row>
    <row r="94" spans="1:9" ht="16.899999999999999" customHeight="1" x14ac:dyDescent="0.3">
      <c r="A94" s="15"/>
      <c r="B94" s="19" t="s">
        <v>92</v>
      </c>
      <c r="C94" s="16"/>
      <c r="D94" s="16"/>
      <c r="E94" s="16"/>
      <c r="F94" s="16">
        <v>1000</v>
      </c>
      <c r="G94" s="20">
        <v>1000</v>
      </c>
      <c r="H94" s="20">
        <v>1000</v>
      </c>
      <c r="I94" s="20">
        <v>0</v>
      </c>
    </row>
    <row r="95" spans="1:9" ht="16.899999999999999" customHeight="1" x14ac:dyDescent="0.3">
      <c r="A95" s="15"/>
      <c r="B95" s="19" t="s">
        <v>93</v>
      </c>
      <c r="C95" s="20">
        <v>3000</v>
      </c>
      <c r="D95" s="20">
        <v>2000</v>
      </c>
      <c r="E95" s="20">
        <v>1000</v>
      </c>
      <c r="F95" s="20">
        <v>0</v>
      </c>
      <c r="G95" s="20">
        <v>0</v>
      </c>
      <c r="H95" s="20">
        <v>0</v>
      </c>
      <c r="I95" s="20">
        <v>0</v>
      </c>
    </row>
    <row r="96" spans="1:9" ht="27.65" customHeight="1" x14ac:dyDescent="0.3">
      <c r="A96" s="15"/>
      <c r="B96" s="19" t="s">
        <v>94</v>
      </c>
      <c r="C96" s="16"/>
      <c r="D96" s="16"/>
      <c r="E96" s="16"/>
      <c r="F96" s="16">
        <v>2893000</v>
      </c>
      <c r="G96" s="20">
        <v>2043000</v>
      </c>
      <c r="H96" s="20">
        <v>19330000</v>
      </c>
      <c r="I96" s="20">
        <v>23165000</v>
      </c>
    </row>
    <row r="97" spans="1:9" ht="16.899999999999999" customHeight="1" x14ac:dyDescent="0.3">
      <c r="A97" s="15"/>
      <c r="B97" s="15"/>
      <c r="C97" s="15"/>
      <c r="D97" s="15"/>
      <c r="E97" s="15"/>
      <c r="F97" s="15"/>
      <c r="G97" s="15"/>
      <c r="H97" s="15"/>
      <c r="I97" s="15"/>
    </row>
    <row r="98" spans="1:9" ht="16.899999999999999" customHeight="1" x14ac:dyDescent="0.3">
      <c r="A98" s="15"/>
      <c r="B98" s="19" t="s">
        <v>95</v>
      </c>
      <c r="C98" s="20">
        <v>111000</v>
      </c>
      <c r="D98" s="20">
        <v>510000</v>
      </c>
      <c r="E98" s="20">
        <v>283000</v>
      </c>
      <c r="F98" s="20">
        <v>2988000</v>
      </c>
      <c r="G98" s="20">
        <v>337000</v>
      </c>
      <c r="H98" s="20">
        <v>205000</v>
      </c>
      <c r="I98" s="21">
        <v>101000</v>
      </c>
    </row>
    <row r="99" spans="1:9" ht="16.899999999999999" customHeight="1" x14ac:dyDescent="0.3">
      <c r="A99" s="15"/>
      <c r="B99" s="19" t="s">
        <v>96</v>
      </c>
      <c r="C99" s="20">
        <v>101000</v>
      </c>
      <c r="D99" s="20">
        <v>499000</v>
      </c>
      <c r="E99" s="20">
        <v>271000</v>
      </c>
      <c r="F99" s="20">
        <v>2972000</v>
      </c>
      <c r="G99" s="20">
        <v>300000</v>
      </c>
      <c r="H99" s="20">
        <v>179000</v>
      </c>
      <c r="I99" s="20">
        <v>91000</v>
      </c>
    </row>
    <row r="100" spans="1:9" ht="16.899999999999999" customHeight="1" x14ac:dyDescent="0.3">
      <c r="A100" s="15"/>
      <c r="B100" s="19" t="s">
        <v>97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</row>
    <row r="101" spans="1:9" ht="16.899999999999999" customHeight="1" x14ac:dyDescent="0.3">
      <c r="A101" s="15"/>
      <c r="B101" s="19" t="s">
        <v>98</v>
      </c>
      <c r="C101" s="20">
        <v>10000</v>
      </c>
      <c r="D101" s="20">
        <v>11000</v>
      </c>
      <c r="E101" s="20">
        <v>12000</v>
      </c>
      <c r="F101" s="20">
        <v>16000</v>
      </c>
      <c r="G101" s="20">
        <v>37000</v>
      </c>
      <c r="H101" s="20">
        <v>26000</v>
      </c>
      <c r="I101" s="20">
        <v>10000</v>
      </c>
    </row>
    <row r="102" spans="1:9" ht="16.899999999999999" customHeight="1" x14ac:dyDescent="0.3">
      <c r="A102" s="15"/>
      <c r="B102" s="15"/>
      <c r="C102" s="15"/>
      <c r="D102" s="15"/>
      <c r="E102" s="15"/>
      <c r="F102" s="15"/>
      <c r="G102" s="15"/>
      <c r="H102" s="15"/>
      <c r="I102" s="15"/>
    </row>
    <row r="103" spans="1:9" ht="16.899999999999999" customHeight="1" x14ac:dyDescent="0.3">
      <c r="A103" s="15"/>
      <c r="B103" s="19" t="s">
        <v>99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</row>
    <row r="104" spans="1:9" ht="16.899999999999999" customHeight="1" x14ac:dyDescent="0.3">
      <c r="A104" s="15"/>
      <c r="B104" s="19" t="s">
        <v>100</v>
      </c>
      <c r="C104" s="20">
        <v>0</v>
      </c>
      <c r="D104" s="20">
        <v>0</v>
      </c>
      <c r="E104" s="20">
        <v>0</v>
      </c>
      <c r="F104" s="16">
        <v>0</v>
      </c>
      <c r="G104" s="16">
        <v>0</v>
      </c>
      <c r="H104" s="16">
        <v>0</v>
      </c>
      <c r="I104" s="16">
        <v>0</v>
      </c>
    </row>
    <row r="105" spans="1:9" ht="16.899999999999999" customHeight="1" x14ac:dyDescent="0.3">
      <c r="A105" s="15"/>
      <c r="B105" s="15"/>
      <c r="C105" s="15"/>
      <c r="D105" s="15"/>
      <c r="E105" s="15"/>
      <c r="F105" s="15"/>
      <c r="G105" s="15"/>
      <c r="H105" s="15"/>
      <c r="I105" s="15"/>
    </row>
    <row r="106" spans="1:9" ht="16.899999999999999" customHeight="1" x14ac:dyDescent="0.3">
      <c r="A106" s="15"/>
      <c r="B106" s="19" t="s">
        <v>101</v>
      </c>
      <c r="C106" s="20">
        <v>58483000</v>
      </c>
      <c r="D106" s="20">
        <v>68822000</v>
      </c>
      <c r="E106" s="20">
        <v>68825000</v>
      </c>
      <c r="F106" s="20">
        <v>73607000</v>
      </c>
      <c r="G106" s="20">
        <v>95306000</v>
      </c>
      <c r="H106" s="20">
        <v>114020000</v>
      </c>
      <c r="I106" s="20">
        <v>131377000</v>
      </c>
    </row>
    <row r="107" spans="1:9" ht="16.899999999999999" customHeight="1" x14ac:dyDescent="0.3">
      <c r="A107" s="15"/>
      <c r="B107" s="15"/>
      <c r="C107" s="15"/>
      <c r="D107" s="15"/>
      <c r="E107" s="15"/>
      <c r="F107" s="15"/>
      <c r="G107" s="15"/>
      <c r="H107" s="15"/>
      <c r="I107" s="15"/>
    </row>
    <row r="108" spans="1:9" ht="16.899999999999999" customHeight="1" x14ac:dyDescent="0.3">
      <c r="A108" s="17"/>
      <c r="B108" s="18" t="s">
        <v>102</v>
      </c>
      <c r="C108" s="17"/>
      <c r="D108" s="17"/>
      <c r="E108" s="17"/>
      <c r="F108" s="17"/>
      <c r="G108" s="17"/>
      <c r="H108" s="17"/>
      <c r="I108" s="17"/>
    </row>
    <row r="109" spans="1:9" ht="16.899999999999999" customHeight="1" x14ac:dyDescent="0.3">
      <c r="A109" s="15"/>
      <c r="B109" s="15"/>
      <c r="C109" s="15"/>
      <c r="D109" s="15"/>
      <c r="E109" s="15"/>
      <c r="F109" s="15"/>
      <c r="G109" s="15"/>
      <c r="H109" s="15"/>
      <c r="I109" s="15"/>
    </row>
    <row r="110" spans="1:9" ht="16.899999999999999" customHeight="1" x14ac:dyDescent="0.3">
      <c r="A110" s="22"/>
      <c r="B110" s="23" t="s">
        <v>103</v>
      </c>
      <c r="C110" s="22"/>
      <c r="D110" s="22"/>
      <c r="E110" s="22"/>
      <c r="F110" s="22"/>
      <c r="G110" s="22"/>
      <c r="H110" s="22"/>
      <c r="I110" s="22"/>
    </row>
    <row r="111" spans="1:9" ht="16.899999999999999" customHeight="1" x14ac:dyDescent="0.3">
      <c r="A111" s="15"/>
      <c r="B111" s="15"/>
      <c r="C111" s="15"/>
      <c r="D111" s="15"/>
      <c r="E111" s="15"/>
      <c r="F111" s="15"/>
      <c r="G111" s="15"/>
      <c r="H111" s="15"/>
      <c r="I111" s="15"/>
    </row>
    <row r="112" spans="1:9" ht="16.899999999999999" customHeight="1" x14ac:dyDescent="0.3">
      <c r="A112" s="15"/>
      <c r="B112" s="19" t="s">
        <v>104</v>
      </c>
      <c r="C112" s="20">
        <v>17007000</v>
      </c>
      <c r="D112" s="20">
        <v>19695000</v>
      </c>
      <c r="E112" s="20">
        <v>22872000</v>
      </c>
      <c r="F112" s="20">
        <v>24689000</v>
      </c>
      <c r="G112" s="20">
        <v>28757000</v>
      </c>
      <c r="H112" s="20">
        <v>32528000</v>
      </c>
      <c r="I112" s="20">
        <v>36461000</v>
      </c>
    </row>
    <row r="113" spans="1:9" ht="16.899999999999999" customHeight="1" x14ac:dyDescent="0.3">
      <c r="A113" s="15"/>
      <c r="B113" s="19" t="s">
        <v>105</v>
      </c>
      <c r="C113" s="20">
        <v>700000</v>
      </c>
      <c r="D113" s="20">
        <v>700000</v>
      </c>
      <c r="E113" s="20">
        <v>700000</v>
      </c>
      <c r="F113" s="20">
        <v>700000</v>
      </c>
      <c r="G113" s="20">
        <v>700000</v>
      </c>
      <c r="H113" s="20">
        <v>700000</v>
      </c>
      <c r="I113" s="20">
        <v>700000</v>
      </c>
    </row>
    <row r="114" spans="1:9" ht="16.899999999999999" customHeight="1" x14ac:dyDescent="0.3">
      <c r="A114" s="15"/>
      <c r="B114" s="19" t="s">
        <v>106</v>
      </c>
      <c r="C114" s="16">
        <v>8291000</v>
      </c>
      <c r="D114" s="16">
        <v>8291000</v>
      </c>
      <c r="E114" s="16">
        <v>8291000</v>
      </c>
      <c r="F114" s="16"/>
      <c r="G114" s="16">
        <v>8291000</v>
      </c>
      <c r="H114" s="20">
        <v>8291000</v>
      </c>
      <c r="I114" s="20">
        <v>0</v>
      </c>
    </row>
    <row r="115" spans="1:9" ht="27.65" customHeight="1" x14ac:dyDescent="0.3">
      <c r="A115" s="15"/>
      <c r="B115" s="19" t="s">
        <v>107</v>
      </c>
      <c r="C115" s="16"/>
      <c r="D115" s="16"/>
      <c r="E115" s="16"/>
      <c r="F115" s="16"/>
      <c r="G115" s="16">
        <v>0</v>
      </c>
      <c r="H115" s="16">
        <v>0</v>
      </c>
      <c r="I115" s="16">
        <v>0</v>
      </c>
    </row>
    <row r="116" spans="1:9" ht="16.899999999999999" customHeight="1" x14ac:dyDescent="0.3">
      <c r="A116" s="15"/>
      <c r="B116" s="19" t="s">
        <v>108</v>
      </c>
      <c r="C116" s="16"/>
      <c r="D116" s="16"/>
      <c r="E116" s="16"/>
      <c r="F116" s="16"/>
      <c r="G116" s="16">
        <v>0</v>
      </c>
      <c r="H116" s="16">
        <v>0</v>
      </c>
      <c r="I116" s="16">
        <v>0</v>
      </c>
    </row>
    <row r="117" spans="1:9" ht="16.899999999999999" customHeight="1" x14ac:dyDescent="0.3">
      <c r="A117" s="15"/>
      <c r="B117" s="19" t="s">
        <v>109</v>
      </c>
      <c r="C117" s="16"/>
      <c r="D117" s="16"/>
      <c r="E117" s="16"/>
      <c r="F117" s="16"/>
      <c r="G117" s="16">
        <v>0</v>
      </c>
      <c r="H117" s="16">
        <v>0</v>
      </c>
      <c r="I117" s="16">
        <v>0</v>
      </c>
    </row>
    <row r="118" spans="1:9" ht="16.899999999999999" customHeight="1" x14ac:dyDescent="0.3">
      <c r="A118" s="15"/>
      <c r="B118" s="19" t="s">
        <v>110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</row>
    <row r="119" spans="1:9" ht="16.899999999999999" customHeight="1" x14ac:dyDescent="0.3">
      <c r="A119" s="15"/>
      <c r="B119" s="19" t="s">
        <v>111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</row>
    <row r="120" spans="1:9" ht="16.899999999999999" customHeight="1" x14ac:dyDescent="0.3">
      <c r="A120" s="15"/>
      <c r="B120" s="19" t="s">
        <v>112</v>
      </c>
      <c r="C120" s="20">
        <v>259000</v>
      </c>
      <c r="D120" s="20">
        <v>259000</v>
      </c>
      <c r="E120" s="20">
        <v>259000</v>
      </c>
      <c r="F120" s="20">
        <v>259000</v>
      </c>
      <c r="G120" s="20">
        <v>259000</v>
      </c>
      <c r="H120" s="20">
        <v>259000</v>
      </c>
      <c r="I120" s="20">
        <v>259000</v>
      </c>
    </row>
    <row r="121" spans="1:9" ht="16.899999999999999" customHeight="1" x14ac:dyDescent="0.3">
      <c r="A121" s="15"/>
      <c r="B121" s="19" t="s">
        <v>113</v>
      </c>
      <c r="C121" s="20">
        <v>0</v>
      </c>
      <c r="D121" s="20">
        <v>0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</row>
    <row r="122" spans="1:9" ht="16.899999999999999" customHeight="1" x14ac:dyDescent="0.3">
      <c r="A122" s="15"/>
      <c r="B122" s="19" t="s">
        <v>114</v>
      </c>
      <c r="C122" s="20">
        <v>0</v>
      </c>
      <c r="D122" s="20">
        <v>0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</row>
    <row r="123" spans="1:9" ht="16.899999999999999" customHeight="1" x14ac:dyDescent="0.3">
      <c r="A123" s="15"/>
      <c r="B123" s="19" t="s">
        <v>115</v>
      </c>
      <c r="C123" s="20">
        <v>14076000</v>
      </c>
      <c r="D123" s="20">
        <v>15938000</v>
      </c>
      <c r="E123" s="20">
        <v>18844000</v>
      </c>
      <c r="F123" s="20">
        <v>21690000</v>
      </c>
      <c r="G123" s="20">
        <v>23608000</v>
      </c>
      <c r="H123" s="20">
        <v>27585000</v>
      </c>
      <c r="I123" s="20">
        <v>31518000</v>
      </c>
    </row>
    <row r="124" spans="1:9" ht="16.899999999999999" customHeight="1" x14ac:dyDescent="0.3">
      <c r="A124" s="15"/>
      <c r="B124" s="19" t="s">
        <v>116</v>
      </c>
      <c r="C124" s="20"/>
      <c r="D124" s="20"/>
      <c r="E124" s="20"/>
      <c r="F124" s="20"/>
      <c r="G124" s="20"/>
      <c r="H124" s="20"/>
      <c r="I124" s="20"/>
    </row>
    <row r="125" spans="1:9" ht="27.65" customHeight="1" x14ac:dyDescent="0.3">
      <c r="A125" s="15"/>
      <c r="B125" s="19" t="s">
        <v>117</v>
      </c>
      <c r="C125" s="16"/>
      <c r="D125" s="16"/>
      <c r="E125" s="16"/>
      <c r="F125" s="16">
        <v>-2000</v>
      </c>
      <c r="G125" s="20">
        <v>1000</v>
      </c>
      <c r="H125" s="20">
        <v>0</v>
      </c>
      <c r="I125" s="20">
        <v>0</v>
      </c>
    </row>
    <row r="126" spans="1:9" ht="16.899999999999999" customHeight="1" x14ac:dyDescent="0.3">
      <c r="A126" s="15"/>
      <c r="B126" s="19" t="s">
        <v>118</v>
      </c>
      <c r="C126" s="20">
        <v>-481000</v>
      </c>
      <c r="D126" s="20">
        <v>0</v>
      </c>
      <c r="E126" s="20">
        <v>0</v>
      </c>
      <c r="F126" s="20">
        <v>193000</v>
      </c>
      <c r="G126" s="20">
        <v>193000</v>
      </c>
      <c r="H126" s="20">
        <v>193000</v>
      </c>
      <c r="I126" s="20">
        <v>0</v>
      </c>
    </row>
    <row r="127" spans="1:9" ht="16.899999999999999" customHeight="1" x14ac:dyDescent="0.3">
      <c r="A127" s="15"/>
      <c r="B127" s="19" t="s">
        <v>119</v>
      </c>
      <c r="C127" s="20">
        <v>2453000</v>
      </c>
      <c r="D127" s="20">
        <v>2798000</v>
      </c>
      <c r="E127" s="20">
        <v>3069000</v>
      </c>
      <c r="F127" s="20">
        <v>1849000</v>
      </c>
      <c r="G127" s="20">
        <v>3996000</v>
      </c>
      <c r="H127" s="20">
        <v>3791000</v>
      </c>
      <c r="I127" s="20">
        <v>3984000</v>
      </c>
    </row>
    <row r="128" spans="1:9" ht="16.899999999999999" customHeight="1" x14ac:dyDescent="0.3">
      <c r="A128" s="15"/>
      <c r="B128" s="19" t="s">
        <v>120</v>
      </c>
      <c r="C128" s="16"/>
      <c r="D128" s="16"/>
      <c r="E128" s="16"/>
      <c r="F128" s="16"/>
      <c r="G128" s="16">
        <v>0</v>
      </c>
      <c r="H128" s="16">
        <v>0</v>
      </c>
      <c r="I128" s="16">
        <v>0</v>
      </c>
    </row>
    <row r="129" spans="1:9" ht="16.899999999999999" customHeight="1" x14ac:dyDescent="0.3">
      <c r="A129" s="15"/>
      <c r="B129" s="19" t="s">
        <v>121</v>
      </c>
      <c r="C129" s="16"/>
      <c r="D129" s="16"/>
      <c r="E129" s="16"/>
      <c r="F129" s="16"/>
      <c r="G129" s="16">
        <v>0</v>
      </c>
      <c r="H129" s="16">
        <v>0</v>
      </c>
      <c r="I129" s="16">
        <v>0</v>
      </c>
    </row>
    <row r="130" spans="1:9" ht="27.65" customHeight="1" x14ac:dyDescent="0.3">
      <c r="A130" s="15"/>
      <c r="B130" s="19" t="s">
        <v>122</v>
      </c>
      <c r="C130" s="16"/>
      <c r="D130" s="16"/>
      <c r="E130" s="16"/>
      <c r="F130" s="16">
        <v>0</v>
      </c>
      <c r="G130" s="20">
        <v>0</v>
      </c>
      <c r="H130" s="20">
        <v>0</v>
      </c>
      <c r="I130" s="20">
        <v>0</v>
      </c>
    </row>
    <row r="131" spans="1:9" ht="16.899999999999999" customHeight="1" x14ac:dyDescent="0.3">
      <c r="A131" s="15"/>
      <c r="B131" s="19" t="s">
        <v>123</v>
      </c>
      <c r="C131" s="20"/>
      <c r="D131" s="20"/>
      <c r="E131" s="20"/>
      <c r="F131" s="20"/>
      <c r="G131" s="20"/>
      <c r="H131" s="20"/>
      <c r="I131" s="20"/>
    </row>
    <row r="132" spans="1:9" ht="16.899999999999999" customHeight="1" x14ac:dyDescent="0.3">
      <c r="A132" s="15"/>
      <c r="B132" s="19" t="s">
        <v>124</v>
      </c>
      <c r="C132" s="20"/>
      <c r="D132" s="20"/>
      <c r="E132" s="20"/>
      <c r="F132" s="20"/>
      <c r="G132" s="20"/>
      <c r="H132" s="20"/>
      <c r="I132" s="20"/>
    </row>
    <row r="133" spans="1:9" ht="16.899999999999999" customHeight="1" x14ac:dyDescent="0.3">
      <c r="A133" s="15"/>
      <c r="B133" s="19" t="s">
        <v>125</v>
      </c>
      <c r="C133" s="20">
        <v>17000</v>
      </c>
      <c r="D133" s="20">
        <v>17000</v>
      </c>
      <c r="E133" s="20">
        <v>17000</v>
      </c>
      <c r="F133" s="20"/>
      <c r="G133" s="16">
        <v>17000</v>
      </c>
      <c r="H133" s="20">
        <v>17000</v>
      </c>
      <c r="I133" s="20">
        <v>17000</v>
      </c>
    </row>
    <row r="134" spans="1:9" ht="16.899999999999999" customHeight="1" x14ac:dyDescent="0.3">
      <c r="A134" s="15"/>
      <c r="B134" s="19" t="s">
        <v>126</v>
      </c>
      <c r="C134" s="20"/>
      <c r="D134" s="20"/>
      <c r="E134" s="20"/>
      <c r="F134" s="20"/>
      <c r="G134" s="20"/>
      <c r="H134" s="20"/>
      <c r="I134" s="20"/>
    </row>
    <row r="135" spans="1:9" ht="16.899999999999999" customHeight="1" x14ac:dyDescent="0.3">
      <c r="A135" s="15"/>
      <c r="B135" s="19" t="s">
        <v>127</v>
      </c>
      <c r="C135" s="20"/>
      <c r="D135" s="20"/>
      <c r="E135" s="20"/>
      <c r="F135" s="20"/>
      <c r="G135" s="20"/>
      <c r="H135" s="20"/>
      <c r="I135" s="20"/>
    </row>
    <row r="136" spans="1:9" ht="16.899999999999999" customHeight="1" x14ac:dyDescent="0.3">
      <c r="A136" s="15"/>
      <c r="B136" s="15"/>
      <c r="C136" s="15"/>
      <c r="D136" s="15"/>
      <c r="E136" s="15"/>
      <c r="F136" s="15"/>
      <c r="G136" s="15"/>
      <c r="H136" s="15"/>
      <c r="I136" s="15"/>
    </row>
    <row r="137" spans="1:9" ht="16.899999999999999" customHeight="1" x14ac:dyDescent="0.3">
      <c r="A137" s="15"/>
      <c r="B137" s="19" t="s">
        <v>128</v>
      </c>
      <c r="C137" s="20">
        <v>1511000</v>
      </c>
      <c r="D137" s="20">
        <v>1964000</v>
      </c>
      <c r="E137" s="20">
        <v>17000</v>
      </c>
      <c r="F137" s="20">
        <v>21000</v>
      </c>
      <c r="G137" s="20">
        <v>18000</v>
      </c>
      <c r="H137" s="20">
        <v>18000</v>
      </c>
      <c r="I137" s="20">
        <v>17000</v>
      </c>
    </row>
    <row r="138" spans="1:9" ht="16.899999999999999" customHeight="1" x14ac:dyDescent="0.3">
      <c r="A138" s="15"/>
      <c r="B138" s="19" t="s">
        <v>129</v>
      </c>
      <c r="C138" s="20">
        <v>0</v>
      </c>
      <c r="D138" s="20">
        <v>0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</row>
    <row r="139" spans="1:9" ht="16.899999999999999" customHeight="1" x14ac:dyDescent="0.3">
      <c r="A139" s="15"/>
      <c r="B139" s="19" t="s">
        <v>130</v>
      </c>
      <c r="C139" s="20">
        <v>17000</v>
      </c>
      <c r="D139" s="20">
        <v>17000</v>
      </c>
      <c r="E139" s="20">
        <v>17000</v>
      </c>
      <c r="F139" s="20">
        <v>17000</v>
      </c>
      <c r="G139" s="20">
        <v>17000</v>
      </c>
      <c r="H139" s="20">
        <v>17000</v>
      </c>
      <c r="I139" s="20">
        <v>17000</v>
      </c>
    </row>
    <row r="140" spans="1:9" ht="16.899999999999999" customHeight="1" x14ac:dyDescent="0.3">
      <c r="A140" s="15"/>
      <c r="B140" s="19" t="s">
        <v>131</v>
      </c>
      <c r="C140" s="16"/>
      <c r="D140" s="16"/>
      <c r="E140" s="16"/>
      <c r="F140" s="16">
        <v>4000</v>
      </c>
      <c r="G140" s="20">
        <v>1000</v>
      </c>
      <c r="H140" s="20">
        <v>1000</v>
      </c>
      <c r="I140" s="20">
        <v>0</v>
      </c>
    </row>
    <row r="141" spans="1:9" ht="16.899999999999999" customHeight="1" x14ac:dyDescent="0.3">
      <c r="A141" s="15"/>
      <c r="B141" s="19" t="s">
        <v>132</v>
      </c>
      <c r="C141" s="20">
        <v>1494000</v>
      </c>
      <c r="D141" s="20">
        <v>1947000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</row>
    <row r="142" spans="1:9" ht="16.899999999999999" customHeight="1" x14ac:dyDescent="0.3">
      <c r="A142" s="15"/>
      <c r="B142" s="19" t="s">
        <v>133</v>
      </c>
      <c r="C142" s="20"/>
      <c r="D142" s="20"/>
      <c r="E142" s="20"/>
      <c r="F142" s="20"/>
      <c r="G142" s="20"/>
      <c r="H142" s="20"/>
      <c r="I142" s="20"/>
    </row>
    <row r="143" spans="1:9" ht="16.899999999999999" customHeight="1" x14ac:dyDescent="0.3">
      <c r="A143" s="15"/>
      <c r="B143" s="15"/>
      <c r="C143" s="15"/>
      <c r="D143" s="15"/>
      <c r="E143" s="15"/>
      <c r="F143" s="15"/>
      <c r="G143" s="15"/>
      <c r="H143" s="15"/>
      <c r="I143" s="15"/>
    </row>
    <row r="144" spans="1:9" ht="16.899999999999999" customHeight="1" x14ac:dyDescent="0.3">
      <c r="A144" s="15"/>
      <c r="B144" s="19" t="s">
        <v>134</v>
      </c>
      <c r="C144" s="20">
        <v>905000</v>
      </c>
      <c r="D144" s="20">
        <v>1064000</v>
      </c>
      <c r="E144" s="20">
        <v>1042000</v>
      </c>
      <c r="F144" s="20">
        <v>1079000</v>
      </c>
      <c r="G144" s="20">
        <v>1152000</v>
      </c>
      <c r="H144" s="20">
        <v>1082000</v>
      </c>
      <c r="I144" s="20">
        <v>1310000</v>
      </c>
    </row>
    <row r="145" spans="1:9" ht="16.899999999999999" customHeight="1" x14ac:dyDescent="0.3">
      <c r="A145" s="15"/>
      <c r="B145" s="15"/>
      <c r="C145" s="15"/>
      <c r="D145" s="15"/>
      <c r="E145" s="15"/>
      <c r="F145" s="15"/>
      <c r="G145" s="15"/>
      <c r="H145" s="15"/>
      <c r="I145" s="15"/>
    </row>
    <row r="146" spans="1:9" ht="16.899999999999999" customHeight="1" x14ac:dyDescent="0.3">
      <c r="A146" s="22"/>
      <c r="B146" s="23" t="s">
        <v>135</v>
      </c>
      <c r="C146" s="22"/>
      <c r="D146" s="22"/>
      <c r="E146" s="22"/>
      <c r="F146" s="22"/>
      <c r="G146" s="22"/>
      <c r="H146" s="22"/>
      <c r="I146" s="22"/>
    </row>
    <row r="147" spans="1:9" ht="16.899999999999999" customHeight="1" x14ac:dyDescent="0.3">
      <c r="A147" s="15"/>
      <c r="B147" s="15"/>
      <c r="C147" s="15"/>
      <c r="D147" s="15"/>
      <c r="E147" s="15"/>
      <c r="F147" s="15"/>
      <c r="G147" s="15"/>
      <c r="H147" s="15"/>
      <c r="I147" s="15"/>
    </row>
    <row r="148" spans="1:9" ht="16.899999999999999" customHeight="1" x14ac:dyDescent="0.3">
      <c r="A148" s="15"/>
      <c r="B148" s="19" t="s">
        <v>136</v>
      </c>
      <c r="C148" s="20">
        <v>39060000</v>
      </c>
      <c r="D148" s="20">
        <v>46099000</v>
      </c>
      <c r="E148" s="20">
        <v>44894000</v>
      </c>
      <c r="F148" s="20">
        <v>47818000</v>
      </c>
      <c r="G148" s="20">
        <v>65379000</v>
      </c>
      <c r="H148" s="20">
        <v>80392000</v>
      </c>
      <c r="I148" s="20">
        <v>93589000</v>
      </c>
    </row>
    <row r="149" spans="1:9" ht="16.899999999999999" customHeight="1" x14ac:dyDescent="0.3">
      <c r="A149" s="15"/>
      <c r="B149" s="19" t="s">
        <v>137</v>
      </c>
      <c r="C149" s="20">
        <v>0</v>
      </c>
      <c r="D149" s="20">
        <v>0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</row>
    <row r="150" spans="1:9" ht="16.899999999999999" customHeight="1" x14ac:dyDescent="0.3">
      <c r="A150" s="15"/>
      <c r="B150" s="19" t="s">
        <v>138</v>
      </c>
      <c r="C150" s="20">
        <v>0</v>
      </c>
      <c r="D150" s="20">
        <v>0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</row>
    <row r="151" spans="1:9" ht="16.899999999999999" customHeight="1" x14ac:dyDescent="0.3">
      <c r="A151" s="15"/>
      <c r="B151" s="19" t="s">
        <v>139</v>
      </c>
      <c r="C151" s="20">
        <v>0</v>
      </c>
      <c r="D151" s="20">
        <v>0</v>
      </c>
      <c r="E151" s="20">
        <v>0</v>
      </c>
      <c r="F151" s="20">
        <v>0</v>
      </c>
      <c r="G151" s="20">
        <v>0</v>
      </c>
      <c r="H151" s="20">
        <v>0</v>
      </c>
      <c r="I151" s="20">
        <v>0</v>
      </c>
    </row>
    <row r="152" spans="1:9" ht="16.899999999999999" customHeight="1" x14ac:dyDescent="0.3">
      <c r="A152" s="15"/>
      <c r="B152" s="19" t="s">
        <v>140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</row>
    <row r="153" spans="1:9" ht="16.899999999999999" customHeight="1" x14ac:dyDescent="0.3">
      <c r="A153" s="15"/>
      <c r="B153" s="19" t="s">
        <v>141</v>
      </c>
      <c r="C153" s="20">
        <v>0</v>
      </c>
      <c r="D153" s="20">
        <v>0</v>
      </c>
      <c r="E153" s="20">
        <v>0</v>
      </c>
      <c r="F153" s="20">
        <v>0</v>
      </c>
      <c r="G153" s="20">
        <v>0</v>
      </c>
      <c r="H153" s="20">
        <v>0</v>
      </c>
      <c r="I153" s="20">
        <v>0</v>
      </c>
    </row>
    <row r="154" spans="1:9" ht="16.899999999999999" customHeight="1" x14ac:dyDescent="0.3">
      <c r="A154" s="15"/>
      <c r="B154" s="19" t="s">
        <v>142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</row>
    <row r="155" spans="1:9" ht="16.899999999999999" customHeight="1" x14ac:dyDescent="0.3">
      <c r="A155" s="15"/>
      <c r="B155" s="19" t="s">
        <v>143</v>
      </c>
      <c r="C155" s="20">
        <v>1800000</v>
      </c>
      <c r="D155" s="20">
        <v>1800000</v>
      </c>
      <c r="E155" s="20">
        <v>3544000</v>
      </c>
      <c r="F155" s="20">
        <v>1094000</v>
      </c>
      <c r="G155" s="20">
        <v>0</v>
      </c>
      <c r="H155" s="20">
        <v>0</v>
      </c>
      <c r="I155" s="20">
        <v>0</v>
      </c>
    </row>
    <row r="156" spans="1:9" ht="16.899999999999999" customHeight="1" x14ac:dyDescent="0.3">
      <c r="A156" s="15"/>
      <c r="B156" s="19" t="s">
        <v>144</v>
      </c>
      <c r="C156" s="20">
        <v>4837000</v>
      </c>
      <c r="D156" s="20">
        <v>4637000</v>
      </c>
      <c r="E156" s="20">
        <v>1094000</v>
      </c>
      <c r="F156" s="20">
        <v>0</v>
      </c>
      <c r="G156" s="20">
        <v>0</v>
      </c>
      <c r="H156" s="20">
        <v>0</v>
      </c>
      <c r="I156" s="20">
        <v>0</v>
      </c>
    </row>
    <row r="157" spans="1:9" ht="16.899999999999999" customHeight="1" x14ac:dyDescent="0.3">
      <c r="A157" s="15"/>
      <c r="B157" s="19" t="s">
        <v>145</v>
      </c>
      <c r="C157" s="20">
        <v>3560000</v>
      </c>
      <c r="D157" s="20">
        <v>3786000</v>
      </c>
      <c r="E157" s="20">
        <v>3952000</v>
      </c>
      <c r="F157" s="20">
        <v>5227000</v>
      </c>
      <c r="G157" s="20">
        <v>5390000</v>
      </c>
      <c r="H157" s="20">
        <v>5099000</v>
      </c>
      <c r="I157" s="20">
        <v>4090000</v>
      </c>
    </row>
    <row r="158" spans="1:9" ht="16.899999999999999" customHeight="1" x14ac:dyDescent="0.3">
      <c r="A158" s="15"/>
      <c r="B158" s="19" t="s">
        <v>146</v>
      </c>
      <c r="C158" s="20">
        <v>8529000</v>
      </c>
      <c r="D158" s="20">
        <v>13200000</v>
      </c>
      <c r="E158" s="20">
        <v>12644000</v>
      </c>
      <c r="F158" s="20">
        <v>19751000</v>
      </c>
      <c r="G158" s="20">
        <v>18189000</v>
      </c>
      <c r="H158" s="20">
        <v>13090000</v>
      </c>
      <c r="I158" s="20">
        <v>9916000</v>
      </c>
    </row>
    <row r="159" spans="1:9" ht="16.899999999999999" customHeight="1" x14ac:dyDescent="0.3">
      <c r="A159" s="15"/>
      <c r="B159" s="19" t="s">
        <v>147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1">
        <v>0</v>
      </c>
    </row>
    <row r="160" spans="1:9" ht="16.899999999999999" customHeight="1" x14ac:dyDescent="0.3">
      <c r="A160" s="15"/>
      <c r="B160" s="19" t="s">
        <v>148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1">
        <v>0</v>
      </c>
    </row>
    <row r="161" spans="1:9" ht="16.899999999999999" customHeight="1" x14ac:dyDescent="0.3">
      <c r="A161" s="15"/>
      <c r="B161" s="19" t="s">
        <v>149</v>
      </c>
      <c r="C161" s="20">
        <v>7533000</v>
      </c>
      <c r="D161" s="20">
        <v>6085000</v>
      </c>
      <c r="E161" s="20">
        <v>5865000</v>
      </c>
      <c r="F161" s="20">
        <v>6388000</v>
      </c>
      <c r="G161" s="20">
        <v>6003000</v>
      </c>
      <c r="H161" s="20">
        <v>7598000</v>
      </c>
      <c r="I161" s="21">
        <v>6246000</v>
      </c>
    </row>
    <row r="162" spans="1:9" ht="16.899999999999999" customHeight="1" x14ac:dyDescent="0.3">
      <c r="A162" s="15"/>
      <c r="B162" s="19" t="s">
        <v>150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1">
        <v>0</v>
      </c>
    </row>
    <row r="163" spans="1:9" ht="16.899999999999999" customHeight="1" x14ac:dyDescent="0.3">
      <c r="A163" s="15"/>
      <c r="B163" s="19" t="s">
        <v>151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1">
        <v>0</v>
      </c>
    </row>
    <row r="164" spans="1:9" ht="16.899999999999999" customHeight="1" x14ac:dyDescent="0.3">
      <c r="A164" s="15"/>
      <c r="B164" s="19" t="s">
        <v>152</v>
      </c>
      <c r="C164" s="20">
        <v>0</v>
      </c>
      <c r="D164" s="20">
        <v>0</v>
      </c>
      <c r="E164" s="20">
        <v>0</v>
      </c>
      <c r="F164" s="20">
        <v>0</v>
      </c>
      <c r="G164" s="20">
        <v>0</v>
      </c>
      <c r="H164" s="20">
        <v>0</v>
      </c>
      <c r="I164" s="21">
        <v>0</v>
      </c>
    </row>
    <row r="165" spans="1:9" ht="16.899999999999999" customHeight="1" x14ac:dyDescent="0.3">
      <c r="A165" s="15"/>
      <c r="B165" s="19" t="s">
        <v>153</v>
      </c>
      <c r="C165" s="20">
        <v>0</v>
      </c>
      <c r="D165" s="20">
        <v>0</v>
      </c>
      <c r="E165" s="20">
        <v>0</v>
      </c>
      <c r="F165" s="20">
        <v>0</v>
      </c>
      <c r="G165" s="20">
        <v>0</v>
      </c>
      <c r="H165" s="20">
        <v>0</v>
      </c>
      <c r="I165" s="21">
        <v>0</v>
      </c>
    </row>
    <row r="166" spans="1:9" ht="16.899999999999999" customHeight="1" x14ac:dyDescent="0.3">
      <c r="A166" s="15"/>
      <c r="B166" s="19" t="s">
        <v>154</v>
      </c>
      <c r="C166" s="20">
        <v>0</v>
      </c>
      <c r="D166" s="20">
        <v>0</v>
      </c>
      <c r="E166" s="20">
        <v>0</v>
      </c>
      <c r="F166" s="20">
        <v>0</v>
      </c>
      <c r="G166" s="20">
        <v>0</v>
      </c>
      <c r="H166" s="20">
        <v>0</v>
      </c>
      <c r="I166" s="21">
        <v>0</v>
      </c>
    </row>
    <row r="167" spans="1:9" ht="16.899999999999999" customHeight="1" x14ac:dyDescent="0.3">
      <c r="A167" s="15"/>
      <c r="B167" s="19" t="s">
        <v>155</v>
      </c>
      <c r="C167" s="20">
        <v>2122000</v>
      </c>
      <c r="D167" s="20">
        <v>1756000</v>
      </c>
      <c r="E167" s="20">
        <v>1068000</v>
      </c>
      <c r="F167" s="20">
        <v>530000</v>
      </c>
      <c r="G167" s="20">
        <v>132000</v>
      </c>
      <c r="H167" s="20">
        <v>404000</v>
      </c>
      <c r="I167" s="21">
        <v>40000</v>
      </c>
    </row>
    <row r="168" spans="1:9" ht="16.899999999999999" customHeight="1" x14ac:dyDescent="0.3">
      <c r="A168" s="15"/>
      <c r="B168" s="19" t="s">
        <v>156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0</v>
      </c>
      <c r="I168" s="21">
        <v>0</v>
      </c>
    </row>
    <row r="169" spans="1:9" ht="16.899999999999999" customHeight="1" x14ac:dyDescent="0.3">
      <c r="A169" s="15"/>
      <c r="B169" s="19" t="s">
        <v>157</v>
      </c>
      <c r="C169" s="20">
        <v>8755000</v>
      </c>
      <c r="D169" s="20">
        <v>48000</v>
      </c>
      <c r="E169" s="20">
        <v>2900000</v>
      </c>
      <c r="F169" s="20">
        <v>3170000</v>
      </c>
      <c r="G169" s="20">
        <v>111000</v>
      </c>
      <c r="H169" s="20">
        <v>120000</v>
      </c>
      <c r="I169" s="21">
        <v>9004000</v>
      </c>
    </row>
    <row r="170" spans="1:9" ht="16.899999999999999" customHeight="1" x14ac:dyDescent="0.3">
      <c r="A170" s="15"/>
      <c r="B170" s="19" t="s">
        <v>158</v>
      </c>
      <c r="C170" s="20">
        <v>0</v>
      </c>
      <c r="D170" s="20">
        <v>13000000</v>
      </c>
      <c r="E170" s="20">
        <v>10183000</v>
      </c>
      <c r="F170" s="20">
        <v>8541000</v>
      </c>
      <c r="G170" s="20">
        <v>30094000</v>
      </c>
      <c r="H170" s="20">
        <v>50095000</v>
      </c>
      <c r="I170" s="21">
        <v>59809000</v>
      </c>
    </row>
    <row r="171" spans="1:9" ht="27.65" customHeight="1" x14ac:dyDescent="0.3">
      <c r="A171" s="15"/>
      <c r="B171" s="19" t="s">
        <v>159</v>
      </c>
      <c r="C171" s="16"/>
      <c r="D171" s="16"/>
      <c r="E171" s="16"/>
      <c r="F171" s="16">
        <v>0</v>
      </c>
      <c r="G171" s="20">
        <v>0</v>
      </c>
      <c r="H171" s="20">
        <v>0</v>
      </c>
      <c r="I171" s="21">
        <v>0</v>
      </c>
    </row>
    <row r="172" spans="1:9" ht="27.65" customHeight="1" x14ac:dyDescent="0.3">
      <c r="A172" s="15"/>
      <c r="B172" s="19" t="s">
        <v>160</v>
      </c>
      <c r="C172" s="16"/>
      <c r="D172" s="16"/>
      <c r="E172" s="16"/>
      <c r="F172" s="16">
        <v>0</v>
      </c>
      <c r="G172" s="20">
        <v>0</v>
      </c>
      <c r="H172" s="20">
        <v>0</v>
      </c>
      <c r="I172" s="21">
        <v>0</v>
      </c>
    </row>
    <row r="173" spans="1:9" ht="16.899999999999999" customHeight="1" x14ac:dyDescent="0.3">
      <c r="A173" s="15"/>
      <c r="B173" s="19" t="s">
        <v>161</v>
      </c>
      <c r="C173" s="20">
        <v>787000</v>
      </c>
      <c r="D173" s="20">
        <v>553000</v>
      </c>
      <c r="E173" s="20">
        <v>170000</v>
      </c>
      <c r="F173" s="20">
        <v>203000</v>
      </c>
      <c r="G173" s="20">
        <v>263000</v>
      </c>
      <c r="H173" s="20">
        <v>290000</v>
      </c>
      <c r="I173" s="20">
        <v>272000</v>
      </c>
    </row>
    <row r="174" spans="1:9" ht="16.899999999999999" customHeight="1" x14ac:dyDescent="0.3">
      <c r="A174" s="15"/>
      <c r="B174" s="19" t="s">
        <v>162</v>
      </c>
      <c r="C174" s="20">
        <v>0</v>
      </c>
      <c r="D174" s="20">
        <v>0</v>
      </c>
      <c r="E174" s="20">
        <v>0</v>
      </c>
      <c r="F174" s="20">
        <v>0</v>
      </c>
      <c r="G174" s="20">
        <v>0</v>
      </c>
      <c r="H174" s="20">
        <v>0</v>
      </c>
      <c r="I174" s="20">
        <v>0</v>
      </c>
    </row>
    <row r="175" spans="1:9" ht="16.899999999999999" customHeight="1" x14ac:dyDescent="0.3">
      <c r="A175" s="15"/>
      <c r="B175" s="19" t="s">
        <v>163</v>
      </c>
      <c r="C175" s="20">
        <v>318000</v>
      </c>
      <c r="D175" s="20">
        <v>311000</v>
      </c>
      <c r="E175" s="20">
        <v>272000</v>
      </c>
      <c r="F175" s="20">
        <v>265000</v>
      </c>
      <c r="G175" s="20">
        <v>314000</v>
      </c>
      <c r="H175" s="20">
        <v>314000</v>
      </c>
      <c r="I175" s="20">
        <v>357000</v>
      </c>
    </row>
    <row r="176" spans="1:9" ht="16.899999999999999" customHeight="1" x14ac:dyDescent="0.3">
      <c r="A176" s="15"/>
      <c r="B176" s="19" t="s">
        <v>164</v>
      </c>
      <c r="C176" s="20">
        <v>0</v>
      </c>
      <c r="D176" s="20">
        <v>0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</row>
    <row r="177" spans="1:9" ht="16.899999999999999" customHeight="1" x14ac:dyDescent="0.3">
      <c r="A177" s="15"/>
      <c r="B177" s="19" t="s">
        <v>165</v>
      </c>
      <c r="C177" s="20">
        <v>819000</v>
      </c>
      <c r="D177" s="20">
        <v>923000</v>
      </c>
      <c r="E177" s="20">
        <v>3202000</v>
      </c>
      <c r="F177" s="20">
        <v>2649000</v>
      </c>
      <c r="G177" s="20">
        <v>4883000</v>
      </c>
      <c r="H177" s="20">
        <v>3382000</v>
      </c>
      <c r="I177" s="20">
        <v>3855000</v>
      </c>
    </row>
    <row r="178" spans="1:9" ht="16.899999999999999" customHeight="1" x14ac:dyDescent="0.3">
      <c r="A178" s="15"/>
      <c r="B178" s="19" t="s">
        <v>166</v>
      </c>
      <c r="C178" s="20">
        <v>0</v>
      </c>
      <c r="D178" s="20">
        <v>0</v>
      </c>
      <c r="E178" s="20">
        <v>0</v>
      </c>
      <c r="F178" s="20">
        <v>0</v>
      </c>
      <c r="G178" s="20">
        <v>0</v>
      </c>
      <c r="H178" s="20">
        <v>0</v>
      </c>
      <c r="I178" s="20">
        <v>0</v>
      </c>
    </row>
    <row r="179" spans="1:9" ht="16.899999999999999" customHeight="1" x14ac:dyDescent="0.3">
      <c r="A179" s="15"/>
      <c r="B179" s="19" t="s">
        <v>167</v>
      </c>
      <c r="C179" s="20">
        <v>25694000</v>
      </c>
      <c r="D179" s="20">
        <v>15262000</v>
      </c>
      <c r="E179" s="20">
        <v>20973000</v>
      </c>
      <c r="F179" s="20">
        <v>19526000</v>
      </c>
      <c r="G179" s="20">
        <v>17096000</v>
      </c>
      <c r="H179" s="20">
        <v>17207000</v>
      </c>
      <c r="I179" s="20">
        <v>23864000</v>
      </c>
    </row>
    <row r="180" spans="1:9" ht="16.899999999999999" customHeight="1" x14ac:dyDescent="0.3">
      <c r="A180" s="15"/>
      <c r="B180" s="19" t="s">
        <v>168</v>
      </c>
      <c r="C180" s="20">
        <v>13366000</v>
      </c>
      <c r="D180" s="20">
        <v>30837000</v>
      </c>
      <c r="E180" s="20">
        <v>23921000</v>
      </c>
      <c r="F180" s="20">
        <v>28292000</v>
      </c>
      <c r="G180" s="20">
        <v>48283000</v>
      </c>
      <c r="H180" s="20">
        <v>63185000</v>
      </c>
      <c r="I180" s="20">
        <v>69725000</v>
      </c>
    </row>
    <row r="181" spans="1:9" ht="16.899999999999999" customHeight="1" x14ac:dyDescent="0.3">
      <c r="A181" s="15"/>
      <c r="B181" s="15"/>
      <c r="C181" s="15"/>
      <c r="D181" s="15"/>
      <c r="E181" s="15"/>
      <c r="F181" s="15"/>
      <c r="G181" s="15"/>
      <c r="H181" s="15"/>
      <c r="I181" s="15"/>
    </row>
    <row r="182" spans="1:9" ht="16.899999999999999" customHeight="1" x14ac:dyDescent="0.3">
      <c r="A182" s="15"/>
      <c r="B182" s="19" t="s">
        <v>169</v>
      </c>
      <c r="C182" s="20">
        <v>25694000</v>
      </c>
      <c r="D182" s="20">
        <v>15262000</v>
      </c>
      <c r="E182" s="20">
        <v>20973000</v>
      </c>
      <c r="F182" s="20">
        <v>19526000</v>
      </c>
      <c r="G182" s="20">
        <v>17096000</v>
      </c>
      <c r="H182" s="20">
        <v>17207000</v>
      </c>
      <c r="I182" s="20">
        <v>23864000</v>
      </c>
    </row>
    <row r="183" spans="1:9" ht="16.899999999999999" customHeight="1" x14ac:dyDescent="0.3">
      <c r="A183" s="15"/>
      <c r="B183" s="19" t="s">
        <v>170</v>
      </c>
      <c r="C183" s="20">
        <v>13366000</v>
      </c>
      <c r="D183" s="20">
        <v>30837000</v>
      </c>
      <c r="E183" s="20">
        <v>23921000</v>
      </c>
      <c r="F183" s="20">
        <v>28292000</v>
      </c>
      <c r="G183" s="20">
        <v>48283000</v>
      </c>
      <c r="H183" s="20">
        <v>63185000</v>
      </c>
      <c r="I183" s="20">
        <v>69725000</v>
      </c>
    </row>
    <row r="184" spans="1:9" ht="16.899999999999999" customHeight="1" x14ac:dyDescent="0.3">
      <c r="A184" s="15"/>
      <c r="B184" s="15"/>
      <c r="C184" s="15"/>
      <c r="D184" s="15"/>
      <c r="E184" s="15"/>
      <c r="F184" s="15"/>
      <c r="G184" s="15"/>
      <c r="H184" s="15"/>
      <c r="I184" s="15"/>
    </row>
    <row r="185" spans="1:9" ht="16.899999999999999" customHeight="1" x14ac:dyDescent="0.3">
      <c r="A185" s="15"/>
      <c r="B185" s="19" t="s">
        <v>171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</row>
    <row r="186" spans="1:9" ht="16.899999999999999" customHeight="1" x14ac:dyDescent="0.3">
      <c r="A186" s="15"/>
      <c r="B186" s="19" t="s">
        <v>172</v>
      </c>
      <c r="C186" s="16">
        <v>0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</row>
    <row r="187" spans="1:9" ht="16.899999999999999" customHeight="1" x14ac:dyDescent="0.3">
      <c r="A187" s="15"/>
      <c r="B187" s="15"/>
      <c r="C187" s="15"/>
      <c r="D187" s="15"/>
      <c r="E187" s="15"/>
      <c r="F187" s="15"/>
      <c r="G187" s="15"/>
      <c r="H187" s="15"/>
      <c r="I187" s="15"/>
    </row>
    <row r="188" spans="1:9" ht="16.899999999999999" customHeight="1" x14ac:dyDescent="0.3">
      <c r="A188" s="15"/>
      <c r="B188" s="19" t="s">
        <v>173</v>
      </c>
      <c r="C188" s="20">
        <v>58483000</v>
      </c>
      <c r="D188" s="20">
        <v>68822000</v>
      </c>
      <c r="E188" s="20">
        <v>68825000</v>
      </c>
      <c r="F188" s="20">
        <v>73607000</v>
      </c>
      <c r="G188" s="20">
        <v>95306000</v>
      </c>
      <c r="H188" s="20">
        <v>114020000</v>
      </c>
      <c r="I188" s="20">
        <v>131377000</v>
      </c>
    </row>
    <row r="189" spans="1:9" ht="16.899999999999999" customHeight="1" x14ac:dyDescent="0.3">
      <c r="A189" s="15"/>
      <c r="B189" s="15"/>
      <c r="C189" s="15"/>
      <c r="D189" s="15"/>
      <c r="E189" s="15"/>
      <c r="F189" s="15"/>
      <c r="G189" s="15"/>
      <c r="H189" s="15"/>
      <c r="I189" s="15"/>
    </row>
    <row r="190" spans="1:9" ht="16.899999999999999" customHeight="1" x14ac:dyDescent="0.3">
      <c r="A190" s="15"/>
      <c r="B190" s="19" t="s">
        <v>174</v>
      </c>
      <c r="C190" s="20">
        <v>18668000</v>
      </c>
      <c r="D190" s="20">
        <v>28563000</v>
      </c>
      <c r="E190" s="20" t="s">
        <v>175</v>
      </c>
      <c r="F190" s="20">
        <v>53783000</v>
      </c>
      <c r="G190" s="20">
        <v>34799000</v>
      </c>
      <c r="H190" s="20">
        <v>0</v>
      </c>
      <c r="I190" s="20">
        <v>22853000</v>
      </c>
    </row>
    <row r="191" spans="1:9" ht="16.899999999999999" customHeight="1" x14ac:dyDescent="0.3">
      <c r="A191" s="15"/>
      <c r="B191" s="19" t="s">
        <v>176</v>
      </c>
      <c r="C191" s="20"/>
      <c r="D191" s="20"/>
      <c r="E191" s="20"/>
      <c r="F191" s="20"/>
      <c r="G191" s="20"/>
      <c r="H191" s="20">
        <v>0</v>
      </c>
      <c r="I191" s="20"/>
    </row>
    <row r="192" spans="1:9" ht="16.899999999999999" customHeight="1" x14ac:dyDescent="0.3">
      <c r="A192" s="15"/>
      <c r="B192" s="15"/>
      <c r="C192" s="15"/>
      <c r="D192" s="15"/>
      <c r="E192" s="15"/>
      <c r="F192" s="15"/>
      <c r="G192" s="15"/>
      <c r="H192" s="15"/>
      <c r="I192" s="15"/>
    </row>
    <row r="196" spans="1:9" ht="15.65" customHeight="1" x14ac:dyDescent="0.3">
      <c r="A196" s="10" t="s">
        <v>0</v>
      </c>
    </row>
    <row r="197" spans="1:9" ht="13.15" customHeight="1" x14ac:dyDescent="0.3"/>
    <row r="198" spans="1:9" ht="16.899999999999999" customHeight="1" x14ac:dyDescent="0.3">
      <c r="A198" s="15"/>
      <c r="B198" s="24" t="s">
        <v>177</v>
      </c>
      <c r="C198" s="15"/>
      <c r="D198" s="15"/>
      <c r="E198" s="15"/>
      <c r="F198" s="15"/>
      <c r="G198" s="15"/>
      <c r="H198" s="15"/>
      <c r="I198" s="15"/>
    </row>
    <row r="199" spans="1:9" ht="28.9" customHeight="1" x14ac:dyDescent="0.3">
      <c r="A199" s="12"/>
      <c r="B199" s="13" t="s">
        <v>1</v>
      </c>
      <c r="C199" s="14" t="s">
        <v>2</v>
      </c>
      <c r="D199" s="14" t="s">
        <v>3</v>
      </c>
      <c r="E199" s="14" t="s">
        <v>4</v>
      </c>
      <c r="F199" s="14" t="s">
        <v>5</v>
      </c>
      <c r="G199" s="14" t="s">
        <v>6</v>
      </c>
      <c r="H199" s="14" t="s">
        <v>7</v>
      </c>
      <c r="I199" s="14" t="s">
        <v>8</v>
      </c>
    </row>
    <row r="200" spans="1:9" ht="54" customHeight="1" x14ac:dyDescent="0.3">
      <c r="A200" s="15"/>
      <c r="B200" s="15"/>
      <c r="C200" s="16" t="s">
        <v>9</v>
      </c>
      <c r="D200" s="16" t="s">
        <v>9</v>
      </c>
      <c r="E200" s="16" t="s">
        <v>9</v>
      </c>
      <c r="F200" s="16" t="s">
        <v>9</v>
      </c>
      <c r="G200" s="16" t="s">
        <v>9</v>
      </c>
      <c r="H200" s="16" t="s">
        <v>9</v>
      </c>
      <c r="I200" s="16" t="s">
        <v>9</v>
      </c>
    </row>
    <row r="201" spans="1:9" ht="16.899999999999999" customHeight="1" x14ac:dyDescent="0.3">
      <c r="A201" s="15"/>
      <c r="B201" s="19" t="s">
        <v>178</v>
      </c>
      <c r="C201" s="20">
        <v>28873000</v>
      </c>
      <c r="D201" s="20">
        <v>29966000</v>
      </c>
      <c r="E201" s="20">
        <v>29733000</v>
      </c>
      <c r="F201" s="20">
        <v>28534000</v>
      </c>
      <c r="G201" s="20">
        <v>29614000</v>
      </c>
      <c r="H201" s="20">
        <v>31352000</v>
      </c>
      <c r="I201" s="20">
        <v>32374000</v>
      </c>
    </row>
    <row r="202" spans="1:9" ht="16.899999999999999" customHeight="1" x14ac:dyDescent="0.3">
      <c r="A202" s="15"/>
      <c r="B202" s="19" t="s">
        <v>179</v>
      </c>
      <c r="C202" s="20">
        <v>28776000</v>
      </c>
      <c r="D202" s="20">
        <v>29846000</v>
      </c>
      <c r="E202" s="20">
        <v>29619000</v>
      </c>
      <c r="F202" s="20">
        <v>27209000</v>
      </c>
      <c r="G202" s="20">
        <v>29488000</v>
      </c>
      <c r="H202" s="20">
        <v>31352000</v>
      </c>
      <c r="I202" s="21">
        <v>32326000</v>
      </c>
    </row>
    <row r="203" spans="1:9" ht="16.899999999999999" customHeight="1" x14ac:dyDescent="0.3">
      <c r="A203" s="15"/>
      <c r="B203" s="19" t="s">
        <v>180</v>
      </c>
      <c r="C203" s="20">
        <v>0</v>
      </c>
      <c r="D203" s="20">
        <v>0</v>
      </c>
      <c r="E203" s="20">
        <v>0</v>
      </c>
      <c r="F203" s="20">
        <v>0</v>
      </c>
      <c r="G203" s="20">
        <v>0</v>
      </c>
      <c r="H203" s="20">
        <v>0</v>
      </c>
      <c r="I203" s="20">
        <v>0</v>
      </c>
    </row>
    <row r="204" spans="1:9" ht="16.899999999999999" customHeight="1" x14ac:dyDescent="0.3">
      <c r="A204" s="15"/>
      <c r="B204" s="19" t="s">
        <v>181</v>
      </c>
      <c r="C204" s="20">
        <v>0</v>
      </c>
      <c r="D204" s="20">
        <v>0</v>
      </c>
      <c r="E204" s="20">
        <v>0</v>
      </c>
      <c r="F204" s="20">
        <v>0</v>
      </c>
      <c r="G204" s="20">
        <v>0</v>
      </c>
      <c r="H204" s="20">
        <v>0</v>
      </c>
      <c r="I204" s="20">
        <v>0</v>
      </c>
    </row>
    <row r="205" spans="1:9" ht="16.899999999999999" customHeight="1" x14ac:dyDescent="0.3">
      <c r="A205" s="15"/>
      <c r="B205" s="19" t="s">
        <v>182</v>
      </c>
      <c r="C205" s="16">
        <v>0</v>
      </c>
      <c r="D205" s="16">
        <v>0</v>
      </c>
      <c r="E205" s="16">
        <v>0</v>
      </c>
      <c r="F205" s="16">
        <v>0</v>
      </c>
      <c r="G205" s="16">
        <v>0</v>
      </c>
      <c r="H205" s="16">
        <v>0</v>
      </c>
      <c r="I205" s="16">
        <v>0</v>
      </c>
    </row>
    <row r="206" spans="1:9" ht="16.899999999999999" customHeight="1" x14ac:dyDescent="0.3">
      <c r="A206" s="15"/>
      <c r="B206" s="19" t="s">
        <v>183</v>
      </c>
      <c r="C206" s="20">
        <v>0</v>
      </c>
      <c r="D206" s="20">
        <v>0</v>
      </c>
      <c r="E206" s="20">
        <v>0</v>
      </c>
      <c r="F206" s="20">
        <v>0</v>
      </c>
      <c r="G206" s="20">
        <v>0</v>
      </c>
      <c r="H206" s="20">
        <v>0</v>
      </c>
      <c r="I206" s="20">
        <v>0</v>
      </c>
    </row>
    <row r="207" spans="1:9" ht="16.899999999999999" customHeight="1" x14ac:dyDescent="0.3">
      <c r="A207" s="15"/>
      <c r="B207" s="19" t="s">
        <v>184</v>
      </c>
      <c r="C207" s="20">
        <v>97000</v>
      </c>
      <c r="D207" s="20">
        <v>120000</v>
      </c>
      <c r="E207" s="20">
        <v>114000</v>
      </c>
      <c r="F207" s="20">
        <v>1325000</v>
      </c>
      <c r="G207" s="20">
        <v>126000</v>
      </c>
      <c r="H207" s="20">
        <v>0</v>
      </c>
      <c r="I207" s="20">
        <v>48000</v>
      </c>
    </row>
    <row r="208" spans="1:9" ht="16.899999999999999" customHeight="1" x14ac:dyDescent="0.3">
      <c r="A208" s="15"/>
      <c r="B208" s="19" t="s">
        <v>185</v>
      </c>
      <c r="C208" s="16"/>
      <c r="D208" s="16">
        <v>0</v>
      </c>
      <c r="E208" s="16">
        <v>0</v>
      </c>
      <c r="F208" s="16">
        <v>0</v>
      </c>
      <c r="G208" s="20">
        <v>0</v>
      </c>
      <c r="H208" s="20">
        <v>0</v>
      </c>
      <c r="I208" s="20"/>
    </row>
    <row r="209" spans="1:9" ht="16.899999999999999" customHeight="1" x14ac:dyDescent="0.3">
      <c r="A209" s="15"/>
      <c r="B209" s="15"/>
      <c r="C209" s="15"/>
      <c r="D209" s="15"/>
      <c r="E209" s="15"/>
      <c r="F209" s="15"/>
      <c r="G209" s="15"/>
      <c r="H209" s="15"/>
      <c r="I209" s="15"/>
    </row>
    <row r="210" spans="1:9" ht="16.899999999999999" customHeight="1" x14ac:dyDescent="0.3">
      <c r="A210" s="15"/>
      <c r="B210" s="19" t="s">
        <v>186</v>
      </c>
      <c r="C210" s="20">
        <v>24343000</v>
      </c>
      <c r="D210" s="20">
        <v>24756000</v>
      </c>
      <c r="E210" s="20">
        <v>24104000</v>
      </c>
      <c r="F210" s="20">
        <v>25010000</v>
      </c>
      <c r="G210" s="20">
        <v>23982000</v>
      </c>
      <c r="H210" s="20">
        <v>25447000</v>
      </c>
      <c r="I210" s="20">
        <v>26649000</v>
      </c>
    </row>
    <row r="211" spans="1:9" ht="16.899999999999999" customHeight="1" x14ac:dyDescent="0.3">
      <c r="A211" s="15"/>
      <c r="B211" s="19" t="s">
        <v>187</v>
      </c>
      <c r="C211" s="20">
        <v>2623000</v>
      </c>
      <c r="D211" s="20">
        <v>2548000</v>
      </c>
      <c r="E211" s="20">
        <v>1798000</v>
      </c>
      <c r="F211" s="20">
        <v>1029000</v>
      </c>
      <c r="G211" s="20">
        <v>710000</v>
      </c>
      <c r="H211" s="20">
        <v>775000</v>
      </c>
      <c r="I211" s="20">
        <v>882000</v>
      </c>
    </row>
    <row r="212" spans="1:9" ht="16.899999999999999" customHeight="1" x14ac:dyDescent="0.3">
      <c r="A212" s="15"/>
      <c r="B212" s="19" t="s">
        <v>188</v>
      </c>
      <c r="C212" s="20">
        <v>8979000</v>
      </c>
      <c r="D212" s="20">
        <v>9340000</v>
      </c>
      <c r="E212" s="20">
        <v>9813000</v>
      </c>
      <c r="F212" s="20">
        <v>10055000</v>
      </c>
      <c r="G212" s="20">
        <v>9099000</v>
      </c>
      <c r="H212" s="20">
        <v>10724000</v>
      </c>
      <c r="I212" s="20">
        <v>11489000</v>
      </c>
    </row>
    <row r="213" spans="1:9" ht="16.899999999999999" customHeight="1" x14ac:dyDescent="0.3">
      <c r="A213" s="15"/>
      <c r="B213" s="19" t="s">
        <v>189</v>
      </c>
      <c r="C213" s="20">
        <v>132000</v>
      </c>
      <c r="D213" s="20">
        <v>137000</v>
      </c>
      <c r="E213" s="20">
        <v>279000</v>
      </c>
      <c r="F213" s="20">
        <v>265000</v>
      </c>
      <c r="G213" s="20">
        <v>301000</v>
      </c>
      <c r="H213" s="20">
        <v>312000</v>
      </c>
      <c r="I213" s="20">
        <v>41000</v>
      </c>
    </row>
    <row r="214" spans="1:9" ht="16.899999999999999" customHeight="1" x14ac:dyDescent="0.3">
      <c r="A214" s="15"/>
      <c r="B214" s="19" t="s">
        <v>190</v>
      </c>
      <c r="C214" s="20">
        <v>5086000</v>
      </c>
      <c r="D214" s="20">
        <v>5072000</v>
      </c>
      <c r="E214" s="20">
        <v>4727000</v>
      </c>
      <c r="F214" s="20">
        <v>4714000</v>
      </c>
      <c r="G214" s="20">
        <v>5041000</v>
      </c>
      <c r="H214" s="20">
        <v>5577000</v>
      </c>
      <c r="I214" s="20">
        <v>6083000</v>
      </c>
    </row>
    <row r="215" spans="1:9" ht="16.899999999999999" customHeight="1" x14ac:dyDescent="0.3">
      <c r="A215" s="15"/>
      <c r="B215" s="19" t="s">
        <v>191</v>
      </c>
      <c r="C215" s="20">
        <v>3651000</v>
      </c>
      <c r="D215" s="20">
        <v>3710000</v>
      </c>
      <c r="E215" s="20">
        <v>3443000</v>
      </c>
      <c r="F215" s="20">
        <v>3409000</v>
      </c>
      <c r="G215" s="20">
        <v>3696000</v>
      </c>
      <c r="H215" s="20">
        <v>3923000</v>
      </c>
      <c r="I215" s="20">
        <v>6083000</v>
      </c>
    </row>
    <row r="216" spans="1:9" ht="16.899999999999999" customHeight="1" x14ac:dyDescent="0.3">
      <c r="A216" s="15"/>
      <c r="B216" s="19" t="s">
        <v>192</v>
      </c>
      <c r="C216" s="20">
        <v>1120000</v>
      </c>
      <c r="D216" s="20">
        <v>1110000</v>
      </c>
      <c r="E216" s="20">
        <v>998000</v>
      </c>
      <c r="F216" s="20">
        <v>947000</v>
      </c>
      <c r="G216" s="20">
        <v>1015000</v>
      </c>
      <c r="H216" s="20">
        <v>1096000</v>
      </c>
      <c r="I216" s="20">
        <v>0</v>
      </c>
    </row>
    <row r="217" spans="1:9" ht="16.899999999999999" customHeight="1" x14ac:dyDescent="0.3">
      <c r="A217" s="15"/>
      <c r="B217" s="19" t="s">
        <v>193</v>
      </c>
      <c r="C217" s="20">
        <v>0</v>
      </c>
      <c r="D217" s="20">
        <v>0</v>
      </c>
      <c r="E217" s="20">
        <v>0</v>
      </c>
      <c r="F217" s="20">
        <v>0</v>
      </c>
      <c r="G217" s="20">
        <v>0</v>
      </c>
      <c r="H217" s="20">
        <v>0</v>
      </c>
      <c r="I217" s="20">
        <v>0</v>
      </c>
    </row>
    <row r="218" spans="1:9" ht="16.899999999999999" customHeight="1" x14ac:dyDescent="0.3">
      <c r="A218" s="15"/>
      <c r="B218" s="19" t="s">
        <v>194</v>
      </c>
      <c r="C218" s="20">
        <v>0</v>
      </c>
      <c r="D218" s="20">
        <v>0</v>
      </c>
      <c r="E218" s="20">
        <v>0</v>
      </c>
      <c r="F218" s="20">
        <v>0</v>
      </c>
      <c r="G218" s="20">
        <v>0</v>
      </c>
      <c r="H218" s="20">
        <v>0</v>
      </c>
      <c r="I218" s="20">
        <v>0</v>
      </c>
    </row>
    <row r="219" spans="1:9" ht="16.899999999999999" customHeight="1" x14ac:dyDescent="0.3">
      <c r="A219" s="15"/>
      <c r="B219" s="19" t="s">
        <v>195</v>
      </c>
      <c r="C219" s="20">
        <v>315000</v>
      </c>
      <c r="D219" s="20">
        <v>252000</v>
      </c>
      <c r="E219" s="20">
        <v>286000</v>
      </c>
      <c r="F219" s="20">
        <v>358000</v>
      </c>
      <c r="G219" s="20">
        <v>330000</v>
      </c>
      <c r="H219" s="20">
        <v>558000</v>
      </c>
      <c r="I219" s="20">
        <v>0</v>
      </c>
    </row>
    <row r="220" spans="1:9" ht="16.899999999999999" customHeight="1" x14ac:dyDescent="0.3">
      <c r="A220" s="15"/>
      <c r="B220" s="19" t="s">
        <v>196</v>
      </c>
      <c r="C220" s="16">
        <v>315000</v>
      </c>
      <c r="D220" s="16">
        <v>252000</v>
      </c>
      <c r="E220" s="16">
        <v>286000</v>
      </c>
      <c r="F220" s="16">
        <v>358000</v>
      </c>
      <c r="G220" s="16">
        <v>330000</v>
      </c>
      <c r="H220" s="16">
        <v>558000</v>
      </c>
      <c r="I220" s="16">
        <v>0</v>
      </c>
    </row>
    <row r="221" spans="1:9" ht="16.899999999999999" customHeight="1" x14ac:dyDescent="0.3">
      <c r="A221" s="15"/>
      <c r="B221" s="19" t="s">
        <v>197</v>
      </c>
      <c r="C221" s="20">
        <v>4956000</v>
      </c>
      <c r="D221" s="20">
        <v>5459000</v>
      </c>
      <c r="E221" s="20">
        <v>5460000</v>
      </c>
      <c r="F221" s="20">
        <v>6923000</v>
      </c>
      <c r="G221" s="20">
        <v>6782000</v>
      </c>
      <c r="H221" s="20">
        <v>6394000</v>
      </c>
      <c r="I221" s="20">
        <v>6351000</v>
      </c>
    </row>
    <row r="222" spans="1:9" ht="16.899999999999999" customHeight="1" x14ac:dyDescent="0.3">
      <c r="A222" s="15"/>
      <c r="B222" s="19" t="s">
        <v>198</v>
      </c>
      <c r="C222" s="20">
        <v>45000</v>
      </c>
      <c r="D222" s="20">
        <v>46000</v>
      </c>
      <c r="E222" s="20">
        <v>19000</v>
      </c>
      <c r="F222" s="20">
        <v>33000</v>
      </c>
      <c r="G222" s="20">
        <v>35000</v>
      </c>
      <c r="H222" s="20">
        <v>17000</v>
      </c>
      <c r="I222" s="20">
        <v>11000</v>
      </c>
    </row>
    <row r="223" spans="1:9" ht="16.899999999999999" customHeight="1" x14ac:dyDescent="0.3">
      <c r="A223" s="15"/>
      <c r="B223" s="19" t="s">
        <v>199</v>
      </c>
      <c r="C223" s="20">
        <v>4623000</v>
      </c>
      <c r="D223" s="20">
        <v>4947000</v>
      </c>
      <c r="E223" s="20">
        <v>5276000</v>
      </c>
      <c r="F223" s="20">
        <v>4984000</v>
      </c>
      <c r="G223" s="20">
        <v>6497000</v>
      </c>
      <c r="H223" s="20">
        <v>6017000</v>
      </c>
      <c r="I223" s="20">
        <v>6182000</v>
      </c>
    </row>
    <row r="224" spans="1:9" ht="16.899999999999999" customHeight="1" x14ac:dyDescent="0.3">
      <c r="A224" s="15"/>
      <c r="B224" s="19" t="s">
        <v>200</v>
      </c>
      <c r="C224" s="20">
        <v>181000</v>
      </c>
      <c r="D224" s="20">
        <v>200000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</row>
    <row r="225" spans="1:9" ht="16.899999999999999" customHeight="1" x14ac:dyDescent="0.3">
      <c r="A225" s="15"/>
      <c r="B225" s="19" t="s">
        <v>201</v>
      </c>
      <c r="C225" s="16">
        <v>4849000</v>
      </c>
      <c r="D225" s="16">
        <v>5193000</v>
      </c>
      <c r="E225" s="16">
        <v>5295000</v>
      </c>
      <c r="F225" s="16">
        <v>5017000</v>
      </c>
      <c r="G225" s="16">
        <v>6532000</v>
      </c>
      <c r="H225" s="16">
        <v>6034000</v>
      </c>
      <c r="I225" s="16">
        <v>6193000</v>
      </c>
    </row>
    <row r="226" spans="1:9" ht="16.899999999999999" customHeight="1" x14ac:dyDescent="0.3">
      <c r="A226" s="15"/>
      <c r="B226" s="19" t="s">
        <v>202</v>
      </c>
      <c r="C226" s="20">
        <v>107000</v>
      </c>
      <c r="D226" s="20">
        <v>266000</v>
      </c>
      <c r="E226" s="20">
        <v>165000</v>
      </c>
      <c r="F226" s="20">
        <v>1906000</v>
      </c>
      <c r="G226" s="20">
        <v>250000</v>
      </c>
      <c r="H226" s="20">
        <v>360000</v>
      </c>
      <c r="I226" s="20">
        <v>158000</v>
      </c>
    </row>
    <row r="227" spans="1:9" ht="16.899999999999999" customHeight="1" x14ac:dyDescent="0.3">
      <c r="A227" s="15"/>
      <c r="B227" s="19" t="s">
        <v>203</v>
      </c>
      <c r="C227" s="20">
        <v>0</v>
      </c>
      <c r="D227" s="20">
        <v>0</v>
      </c>
      <c r="E227" s="20">
        <v>0</v>
      </c>
      <c r="F227" s="20">
        <v>0</v>
      </c>
      <c r="G227" s="20">
        <v>0</v>
      </c>
      <c r="H227" s="20">
        <v>0</v>
      </c>
      <c r="I227" s="20">
        <v>0</v>
      </c>
    </row>
    <row r="228" spans="1:9" ht="16.899999999999999" customHeight="1" x14ac:dyDescent="0.3">
      <c r="A228" s="15"/>
      <c r="B228" s="19" t="s">
        <v>204</v>
      </c>
      <c r="C228" s="20">
        <v>767000</v>
      </c>
      <c r="D228" s="20">
        <v>468000</v>
      </c>
      <c r="E228" s="20">
        <v>353000</v>
      </c>
      <c r="F228" s="20">
        <v>0</v>
      </c>
      <c r="G228" s="20">
        <v>0</v>
      </c>
      <c r="H228" s="20">
        <v>0</v>
      </c>
      <c r="I228" s="20">
        <v>0</v>
      </c>
    </row>
    <row r="229" spans="1:9" ht="16.899999999999999" customHeight="1" x14ac:dyDescent="0.3">
      <c r="A229" s="15"/>
      <c r="B229" s="19" t="s">
        <v>205</v>
      </c>
      <c r="C229" s="20">
        <v>0</v>
      </c>
      <c r="D229" s="20">
        <v>0</v>
      </c>
      <c r="E229" s="20">
        <v>0</v>
      </c>
      <c r="F229" s="20">
        <v>305000</v>
      </c>
      <c r="G229" s="20">
        <v>60000</v>
      </c>
      <c r="H229" s="20">
        <v>0</v>
      </c>
      <c r="I229" s="20">
        <v>0</v>
      </c>
    </row>
    <row r="230" spans="1:9" ht="16.899999999999999" customHeight="1" x14ac:dyDescent="0.3">
      <c r="A230" s="15"/>
      <c r="B230" s="19" t="s">
        <v>206</v>
      </c>
      <c r="C230" s="20">
        <v>1800000</v>
      </c>
      <c r="D230" s="20">
        <v>1732000</v>
      </c>
      <c r="E230" s="20">
        <v>1674000</v>
      </c>
      <c r="F230" s="20">
        <v>1719000</v>
      </c>
      <c r="G230" s="20">
        <v>1989000</v>
      </c>
      <c r="H230" s="20">
        <v>1665000</v>
      </c>
      <c r="I230" s="20">
        <v>1803000</v>
      </c>
    </row>
    <row r="231" spans="1:9" ht="16.899999999999999" customHeight="1" x14ac:dyDescent="0.3">
      <c r="A231" s="15"/>
      <c r="B231" s="15"/>
      <c r="C231" s="15"/>
      <c r="D231" s="15"/>
      <c r="E231" s="15"/>
      <c r="F231" s="15"/>
      <c r="G231" s="15"/>
      <c r="H231" s="15"/>
      <c r="I231" s="15"/>
    </row>
    <row r="232" spans="1:9" ht="16.899999999999999" customHeight="1" x14ac:dyDescent="0.3">
      <c r="A232" s="15"/>
      <c r="B232" s="19" t="s">
        <v>207</v>
      </c>
      <c r="C232" s="20">
        <v>4530000</v>
      </c>
      <c r="D232" s="20">
        <v>5210000</v>
      </c>
      <c r="E232" s="20">
        <v>5629000</v>
      </c>
      <c r="F232" s="20">
        <v>3524000</v>
      </c>
      <c r="G232" s="20">
        <v>5632000</v>
      </c>
      <c r="H232" s="20">
        <v>5905000</v>
      </c>
      <c r="I232" s="20">
        <v>5725000</v>
      </c>
    </row>
    <row r="233" spans="1:9" ht="16.899999999999999" customHeight="1" x14ac:dyDescent="0.3">
      <c r="A233" s="15"/>
      <c r="B233" s="19" t="s">
        <v>208</v>
      </c>
      <c r="C233" s="20">
        <v>15339000</v>
      </c>
      <c r="D233" s="20">
        <v>16209000</v>
      </c>
      <c r="E233" s="20">
        <v>16169000</v>
      </c>
      <c r="F233" s="20">
        <v>15466000</v>
      </c>
      <c r="G233" s="20">
        <v>17515000</v>
      </c>
      <c r="H233" s="20">
        <v>17876000</v>
      </c>
      <c r="I233" s="20">
        <v>18159000</v>
      </c>
    </row>
    <row r="234" spans="1:9" ht="16.899999999999999" customHeight="1" x14ac:dyDescent="0.3">
      <c r="A234" s="15"/>
      <c r="B234" s="15"/>
      <c r="C234" s="15"/>
      <c r="D234" s="15"/>
      <c r="E234" s="15"/>
      <c r="F234" s="15"/>
      <c r="G234" s="15"/>
      <c r="H234" s="15"/>
      <c r="I234" s="15"/>
    </row>
    <row r="235" spans="1:9" ht="16.899999999999999" customHeight="1" x14ac:dyDescent="0.3">
      <c r="A235" s="15"/>
      <c r="B235" s="19" t="s">
        <v>209</v>
      </c>
      <c r="C235" s="20">
        <v>-973000</v>
      </c>
      <c r="D235" s="20">
        <v>-1420000</v>
      </c>
      <c r="E235" s="20">
        <v>-1627000</v>
      </c>
      <c r="F235" s="20">
        <v>-1230000</v>
      </c>
      <c r="G235" s="20">
        <v>-1257000</v>
      </c>
      <c r="H235" s="20">
        <v>-1393000</v>
      </c>
      <c r="I235" s="20">
        <v>-1619000</v>
      </c>
    </row>
    <row r="236" spans="1:9" ht="16.899999999999999" customHeight="1" x14ac:dyDescent="0.3">
      <c r="A236" s="15"/>
      <c r="B236" s="19" t="s">
        <v>210</v>
      </c>
      <c r="C236" s="20">
        <v>0</v>
      </c>
      <c r="D236" s="20">
        <v>0</v>
      </c>
      <c r="E236" s="20">
        <v>0</v>
      </c>
      <c r="F236" s="20">
        <v>0</v>
      </c>
      <c r="G236" s="20">
        <v>0</v>
      </c>
      <c r="H236" s="20">
        <v>0</v>
      </c>
      <c r="I236" s="20">
        <v>0</v>
      </c>
    </row>
    <row r="237" spans="1:9" ht="27.65" customHeight="1" x14ac:dyDescent="0.3">
      <c r="A237" s="15"/>
      <c r="B237" s="19" t="s">
        <v>211</v>
      </c>
      <c r="C237" s="20"/>
      <c r="D237" s="20"/>
      <c r="E237" s="20"/>
      <c r="F237" s="20"/>
      <c r="G237" s="16"/>
      <c r="H237" s="16"/>
      <c r="I237" s="20"/>
    </row>
    <row r="238" spans="1:9" ht="16.899999999999999" customHeight="1" x14ac:dyDescent="0.3">
      <c r="A238" s="15"/>
      <c r="B238" s="19" t="s">
        <v>212</v>
      </c>
      <c r="C238" s="16"/>
      <c r="D238" s="16"/>
      <c r="E238" s="16"/>
      <c r="F238" s="16">
        <v>0</v>
      </c>
      <c r="G238" s="16">
        <v>0</v>
      </c>
      <c r="H238" s="16">
        <v>0</v>
      </c>
      <c r="I238" s="20">
        <v>0</v>
      </c>
    </row>
    <row r="239" spans="1:9" ht="27.65" customHeight="1" x14ac:dyDescent="0.3">
      <c r="A239" s="15"/>
      <c r="B239" s="19" t="s">
        <v>213</v>
      </c>
      <c r="C239" s="16"/>
      <c r="D239" s="16"/>
      <c r="E239" s="16"/>
      <c r="F239" s="16">
        <v>0</v>
      </c>
      <c r="G239" s="16">
        <v>0</v>
      </c>
      <c r="H239" s="16">
        <v>0</v>
      </c>
      <c r="I239" s="20">
        <v>0</v>
      </c>
    </row>
    <row r="240" spans="1:9" ht="16.899999999999999" customHeight="1" x14ac:dyDescent="0.3">
      <c r="A240" s="15"/>
      <c r="B240" s="19" t="s">
        <v>214</v>
      </c>
      <c r="C240" s="20">
        <v>314000</v>
      </c>
      <c r="D240" s="20">
        <v>312000</v>
      </c>
      <c r="E240" s="20">
        <v>246000</v>
      </c>
      <c r="F240" s="20">
        <v>215000</v>
      </c>
      <c r="G240" s="20">
        <v>128000</v>
      </c>
      <c r="H240" s="20">
        <v>107000</v>
      </c>
      <c r="I240" s="20">
        <v>44000</v>
      </c>
    </row>
    <row r="241" spans="1:9" ht="16.899999999999999" customHeight="1" x14ac:dyDescent="0.3">
      <c r="A241" s="15"/>
      <c r="B241" s="19" t="s">
        <v>215</v>
      </c>
      <c r="C241" s="20">
        <v>0</v>
      </c>
      <c r="D241" s="20">
        <v>0</v>
      </c>
      <c r="E241" s="20">
        <v>0</v>
      </c>
      <c r="F241" s="20">
        <v>0</v>
      </c>
      <c r="G241" s="20">
        <v>0</v>
      </c>
      <c r="H241" s="20">
        <v>0</v>
      </c>
      <c r="I241" s="20">
        <v>0</v>
      </c>
    </row>
    <row r="242" spans="1:9" ht="27.65" customHeight="1" x14ac:dyDescent="0.3">
      <c r="A242" s="15"/>
      <c r="B242" s="19" t="s">
        <v>211</v>
      </c>
      <c r="C242" s="16"/>
      <c r="D242" s="16"/>
      <c r="E242" s="16"/>
      <c r="F242" s="16"/>
      <c r="G242" s="16"/>
      <c r="H242" s="16"/>
      <c r="I242" s="16"/>
    </row>
    <row r="243" spans="1:9" ht="27.65" customHeight="1" x14ac:dyDescent="0.3">
      <c r="A243" s="15"/>
      <c r="B243" s="19" t="s">
        <v>213</v>
      </c>
      <c r="C243" s="16"/>
      <c r="D243" s="16"/>
      <c r="E243" s="16"/>
      <c r="F243" s="16">
        <v>0</v>
      </c>
      <c r="G243" s="16">
        <v>0</v>
      </c>
      <c r="H243" s="16">
        <v>0</v>
      </c>
      <c r="I243" s="16">
        <v>0</v>
      </c>
    </row>
    <row r="244" spans="1:9" ht="16.899999999999999" customHeight="1" x14ac:dyDescent="0.3">
      <c r="A244" s="15"/>
      <c r="B244" s="19" t="s">
        <v>216</v>
      </c>
      <c r="C244" s="20">
        <v>0</v>
      </c>
      <c r="D244" s="20">
        <v>0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</row>
    <row r="245" spans="1:9" ht="16.899999999999999" customHeight="1" x14ac:dyDescent="0.3">
      <c r="A245" s="15"/>
      <c r="B245" s="19" t="s">
        <v>217</v>
      </c>
      <c r="C245" s="20">
        <v>0</v>
      </c>
      <c r="D245" s="20">
        <v>0</v>
      </c>
      <c r="E245" s="20">
        <v>0</v>
      </c>
      <c r="F245" s="20">
        <v>0</v>
      </c>
      <c r="G245" s="20">
        <v>0</v>
      </c>
      <c r="H245" s="20">
        <v>0</v>
      </c>
      <c r="I245" s="20">
        <v>0</v>
      </c>
    </row>
    <row r="246" spans="1:9" ht="16.899999999999999" customHeight="1" x14ac:dyDescent="0.3">
      <c r="A246" s="15"/>
      <c r="B246" s="19" t="s">
        <v>218</v>
      </c>
      <c r="C246" s="16">
        <v>0</v>
      </c>
      <c r="D246" s="16">
        <v>0</v>
      </c>
      <c r="E246" s="16">
        <v>0</v>
      </c>
      <c r="F246" s="16">
        <v>0</v>
      </c>
      <c r="G246" s="16">
        <v>0</v>
      </c>
      <c r="H246" s="16">
        <v>0</v>
      </c>
      <c r="I246" s="16">
        <v>0</v>
      </c>
    </row>
    <row r="247" spans="1:9" ht="16.899999999999999" customHeight="1" x14ac:dyDescent="0.3">
      <c r="A247" s="15"/>
      <c r="B247" s="19" t="s">
        <v>219</v>
      </c>
      <c r="C247" s="20">
        <v>314000</v>
      </c>
      <c r="D247" s="20">
        <v>312000</v>
      </c>
      <c r="E247" s="20">
        <v>246000</v>
      </c>
      <c r="F247" s="20">
        <v>215000</v>
      </c>
      <c r="G247" s="20">
        <v>128000</v>
      </c>
      <c r="H247" s="20">
        <v>107000</v>
      </c>
      <c r="I247" s="20">
        <v>44000</v>
      </c>
    </row>
    <row r="248" spans="1:9" ht="27.65" customHeight="1" x14ac:dyDescent="0.3">
      <c r="A248" s="15"/>
      <c r="B248" s="19" t="s">
        <v>220</v>
      </c>
      <c r="C248" s="16"/>
      <c r="D248" s="16"/>
      <c r="E248" s="16"/>
      <c r="F248" s="16"/>
      <c r="G248" s="16"/>
      <c r="H248" s="16"/>
      <c r="I248" s="16"/>
    </row>
    <row r="249" spans="1:9" ht="27.65" customHeight="1" x14ac:dyDescent="0.3">
      <c r="A249" s="15"/>
      <c r="B249" s="19" t="s">
        <v>213</v>
      </c>
      <c r="C249" s="16"/>
      <c r="D249" s="16"/>
      <c r="E249" s="16"/>
      <c r="F249" s="16"/>
      <c r="G249" s="16"/>
      <c r="H249" s="16"/>
      <c r="I249" s="16"/>
    </row>
    <row r="250" spans="1:9" ht="16.899999999999999" customHeight="1" x14ac:dyDescent="0.3">
      <c r="A250" s="15"/>
      <c r="B250" s="19" t="s">
        <v>221</v>
      </c>
      <c r="C250" s="20">
        <v>1287000</v>
      </c>
      <c r="D250" s="20">
        <v>1732000</v>
      </c>
      <c r="E250" s="20">
        <v>1873000</v>
      </c>
      <c r="F250" s="20">
        <v>1435000</v>
      </c>
      <c r="G250" s="20">
        <v>1385000</v>
      </c>
      <c r="H250" s="20">
        <v>1500000</v>
      </c>
      <c r="I250" s="20">
        <v>1663000</v>
      </c>
    </row>
    <row r="251" spans="1:9" ht="27.65" customHeight="1" x14ac:dyDescent="0.3">
      <c r="A251" s="15"/>
      <c r="B251" s="19" t="s">
        <v>211</v>
      </c>
      <c r="C251" s="16"/>
      <c r="D251" s="16"/>
      <c r="E251" s="16"/>
      <c r="F251" s="16"/>
      <c r="G251" s="16"/>
      <c r="H251" s="16"/>
      <c r="I251" s="16"/>
    </row>
    <row r="252" spans="1:9" ht="27.65" customHeight="1" x14ac:dyDescent="0.3">
      <c r="A252" s="15"/>
      <c r="B252" s="19" t="s">
        <v>213</v>
      </c>
      <c r="C252" s="16"/>
      <c r="D252" s="16"/>
      <c r="E252" s="16"/>
      <c r="F252" s="16"/>
      <c r="G252" s="16"/>
      <c r="H252" s="16"/>
      <c r="I252" s="16"/>
    </row>
    <row r="253" spans="1:9" ht="16.899999999999999" customHeight="1" x14ac:dyDescent="0.3">
      <c r="A253" s="15"/>
      <c r="B253" s="19" t="s">
        <v>222</v>
      </c>
      <c r="C253" s="20">
        <v>0</v>
      </c>
      <c r="D253" s="20">
        <v>0</v>
      </c>
      <c r="E253" s="20">
        <v>0</v>
      </c>
      <c r="F253" s="20">
        <v>-10000</v>
      </c>
      <c r="G253" s="20">
        <v>0</v>
      </c>
      <c r="H253" s="20">
        <v>0</v>
      </c>
      <c r="I253" s="20">
        <v>0</v>
      </c>
    </row>
    <row r="254" spans="1:9" ht="16.899999999999999" customHeight="1" x14ac:dyDescent="0.3">
      <c r="A254" s="15"/>
      <c r="B254" s="15"/>
      <c r="C254" s="15"/>
      <c r="D254" s="15"/>
      <c r="E254" s="15"/>
      <c r="F254" s="15"/>
      <c r="G254" s="15"/>
      <c r="H254" s="15"/>
      <c r="I254" s="15"/>
    </row>
    <row r="255" spans="1:9" ht="16.899999999999999" customHeight="1" x14ac:dyDescent="0.3">
      <c r="A255" s="15"/>
      <c r="B255" s="19" t="s">
        <v>223</v>
      </c>
      <c r="C255" s="20">
        <v>0</v>
      </c>
      <c r="D255" s="20">
        <v>0</v>
      </c>
      <c r="E255" s="20">
        <v>0</v>
      </c>
      <c r="F255" s="20">
        <v>-50000</v>
      </c>
      <c r="G255" s="20">
        <v>0</v>
      </c>
      <c r="H255" s="20">
        <v>-236000</v>
      </c>
      <c r="I255" s="20">
        <v>-56000</v>
      </c>
    </row>
    <row r="256" spans="1:9" ht="16.899999999999999" customHeight="1" x14ac:dyDescent="0.3">
      <c r="A256" s="15"/>
      <c r="B256" s="19" t="s">
        <v>224</v>
      </c>
      <c r="C256" s="20">
        <v>0</v>
      </c>
      <c r="D256" s="20">
        <v>0</v>
      </c>
      <c r="E256" s="20">
        <v>0</v>
      </c>
      <c r="F256" s="20">
        <v>0</v>
      </c>
      <c r="G256" s="20">
        <v>0</v>
      </c>
      <c r="H256" s="20">
        <v>0</v>
      </c>
      <c r="I256" s="20">
        <v>0</v>
      </c>
    </row>
    <row r="257" spans="1:9" ht="16.899999999999999" customHeight="1" x14ac:dyDescent="0.3">
      <c r="A257" s="15"/>
      <c r="B257" s="19" t="s">
        <v>225</v>
      </c>
      <c r="C257" s="20">
        <v>0</v>
      </c>
      <c r="D257" s="20">
        <v>0</v>
      </c>
      <c r="E257" s="20">
        <v>0</v>
      </c>
      <c r="F257" s="20">
        <v>0</v>
      </c>
      <c r="G257" s="20">
        <v>0</v>
      </c>
      <c r="H257" s="20">
        <v>0</v>
      </c>
      <c r="I257" s="20">
        <v>0</v>
      </c>
    </row>
    <row r="258" spans="1:9" ht="16.899999999999999" customHeight="1" x14ac:dyDescent="0.3">
      <c r="A258" s="15"/>
      <c r="B258" s="19" t="s">
        <v>226</v>
      </c>
      <c r="C258" s="20">
        <v>0</v>
      </c>
      <c r="D258" s="20">
        <v>0</v>
      </c>
      <c r="E258" s="20">
        <v>0</v>
      </c>
      <c r="F258" s="20">
        <v>0</v>
      </c>
      <c r="G258" s="20">
        <v>0</v>
      </c>
      <c r="H258" s="20">
        <v>0</v>
      </c>
      <c r="I258" s="20">
        <v>0</v>
      </c>
    </row>
    <row r="259" spans="1:9" ht="16.899999999999999" customHeight="1" x14ac:dyDescent="0.3">
      <c r="A259" s="15"/>
      <c r="B259" s="19" t="s">
        <v>227</v>
      </c>
      <c r="C259" s="20">
        <v>0</v>
      </c>
      <c r="D259" s="20">
        <v>0</v>
      </c>
      <c r="E259" s="20">
        <v>0</v>
      </c>
      <c r="F259" s="20">
        <v>0</v>
      </c>
      <c r="G259" s="20">
        <v>0</v>
      </c>
      <c r="H259" s="20">
        <v>0</v>
      </c>
      <c r="I259" s="20">
        <v>0</v>
      </c>
    </row>
    <row r="260" spans="1:9" ht="16.899999999999999" customHeight="1" x14ac:dyDescent="0.3">
      <c r="A260" s="15"/>
      <c r="B260" s="19" t="s">
        <v>228</v>
      </c>
      <c r="C260" s="16"/>
      <c r="D260" s="16"/>
      <c r="E260" s="16"/>
      <c r="F260" s="16">
        <v>0</v>
      </c>
      <c r="G260" s="20">
        <v>0</v>
      </c>
      <c r="H260" s="20">
        <v>0</v>
      </c>
      <c r="I260" s="20">
        <v>0</v>
      </c>
    </row>
    <row r="261" spans="1:9" ht="27.65" customHeight="1" x14ac:dyDescent="0.3">
      <c r="A261" s="15"/>
      <c r="B261" s="19" t="s">
        <v>229</v>
      </c>
      <c r="C261" s="16"/>
      <c r="D261" s="16"/>
      <c r="E261" s="16"/>
      <c r="F261" s="16">
        <v>0</v>
      </c>
      <c r="G261" s="20">
        <v>0</v>
      </c>
      <c r="H261" s="20">
        <v>0</v>
      </c>
      <c r="I261" s="20">
        <v>0</v>
      </c>
    </row>
    <row r="262" spans="1:9" ht="16.899999999999999" customHeight="1" x14ac:dyDescent="0.3">
      <c r="A262" s="15"/>
      <c r="B262" s="19" t="s">
        <v>230</v>
      </c>
      <c r="C262" s="20">
        <v>0</v>
      </c>
      <c r="D262" s="20">
        <v>0</v>
      </c>
      <c r="E262" s="20">
        <v>0</v>
      </c>
      <c r="F262" s="20">
        <v>50000</v>
      </c>
      <c r="G262" s="20">
        <v>0</v>
      </c>
      <c r="H262" s="20">
        <v>236000</v>
      </c>
      <c r="I262" s="20">
        <v>56000</v>
      </c>
    </row>
    <row r="263" spans="1:9" ht="16.899999999999999" customHeight="1" x14ac:dyDescent="0.3">
      <c r="A263" s="15"/>
      <c r="B263" s="19" t="s">
        <v>231</v>
      </c>
      <c r="C263" s="20">
        <v>0</v>
      </c>
      <c r="D263" s="20">
        <v>0</v>
      </c>
      <c r="E263" s="20">
        <v>0</v>
      </c>
      <c r="F263" s="20">
        <v>50000</v>
      </c>
      <c r="G263" s="20">
        <v>0</v>
      </c>
      <c r="H263" s="20">
        <v>2000</v>
      </c>
      <c r="I263" s="20">
        <v>0</v>
      </c>
    </row>
    <row r="264" spans="1:9" ht="16.899999999999999" customHeight="1" x14ac:dyDescent="0.3">
      <c r="A264" s="15"/>
      <c r="B264" s="19" t="s">
        <v>232</v>
      </c>
      <c r="C264" s="20">
        <v>0</v>
      </c>
      <c r="D264" s="20">
        <v>0</v>
      </c>
      <c r="E264" s="20">
        <v>0</v>
      </c>
      <c r="F264" s="20">
        <v>0</v>
      </c>
      <c r="G264" s="20">
        <v>0</v>
      </c>
      <c r="H264" s="20">
        <v>234000</v>
      </c>
      <c r="I264" s="20">
        <v>56000</v>
      </c>
    </row>
    <row r="265" spans="1:9" ht="16.899999999999999" customHeight="1" x14ac:dyDescent="0.3">
      <c r="A265" s="15"/>
      <c r="B265" s="19" t="s">
        <v>233</v>
      </c>
      <c r="C265" s="20">
        <v>0</v>
      </c>
      <c r="D265" s="20">
        <v>0</v>
      </c>
      <c r="E265" s="20">
        <v>0</v>
      </c>
      <c r="F265" s="20">
        <v>0</v>
      </c>
      <c r="G265" s="20">
        <v>0</v>
      </c>
      <c r="H265" s="20">
        <v>0</v>
      </c>
      <c r="I265" s="20">
        <v>0</v>
      </c>
    </row>
    <row r="266" spans="1:9" ht="16.899999999999999" customHeight="1" x14ac:dyDescent="0.3">
      <c r="A266" s="15"/>
      <c r="B266" s="19" t="s">
        <v>234</v>
      </c>
      <c r="C266" s="16"/>
      <c r="D266" s="16"/>
      <c r="E266" s="16"/>
      <c r="F266" s="16">
        <v>0</v>
      </c>
      <c r="G266" s="20">
        <v>0</v>
      </c>
      <c r="H266" s="20">
        <v>0</v>
      </c>
      <c r="I266" s="20">
        <v>0</v>
      </c>
    </row>
    <row r="267" spans="1:9" ht="27.65" customHeight="1" x14ac:dyDescent="0.3">
      <c r="A267" s="15"/>
      <c r="B267" s="19" t="s">
        <v>235</v>
      </c>
      <c r="C267" s="16"/>
      <c r="D267" s="16"/>
      <c r="E267" s="16"/>
      <c r="F267" s="16">
        <v>0</v>
      </c>
      <c r="G267" s="20">
        <v>0</v>
      </c>
      <c r="H267" s="20">
        <v>0</v>
      </c>
      <c r="I267" s="20">
        <v>0</v>
      </c>
    </row>
    <row r="268" spans="1:9" ht="16.899999999999999" customHeight="1" x14ac:dyDescent="0.3">
      <c r="A268" s="15"/>
      <c r="B268" s="15"/>
      <c r="C268" s="15"/>
      <c r="D268" s="15"/>
      <c r="E268" s="15"/>
      <c r="F268" s="15"/>
      <c r="G268" s="15"/>
      <c r="H268" s="15"/>
      <c r="I268" s="15"/>
    </row>
    <row r="269" spans="1:9" ht="16.899999999999999" customHeight="1" x14ac:dyDescent="0.3">
      <c r="A269" s="15"/>
      <c r="B269" s="19" t="s">
        <v>236</v>
      </c>
      <c r="C269" s="20">
        <v>-19000</v>
      </c>
      <c r="D269" s="20">
        <v>200000</v>
      </c>
      <c r="E269" s="20">
        <v>108000</v>
      </c>
      <c r="F269" s="20">
        <v>381000</v>
      </c>
      <c r="G269" s="20">
        <v>129000</v>
      </c>
      <c r="H269" s="20">
        <v>106000</v>
      </c>
      <c r="I269" s="20">
        <v>-66000</v>
      </c>
    </row>
    <row r="270" spans="1:9" ht="16.899999999999999" customHeight="1" x14ac:dyDescent="0.3">
      <c r="A270" s="15"/>
      <c r="B270" s="19" t="s">
        <v>237</v>
      </c>
      <c r="C270" s="20">
        <v>0</v>
      </c>
      <c r="D270" s="20">
        <v>228000</v>
      </c>
      <c r="E270" s="20">
        <v>132000</v>
      </c>
      <c r="F270" s="20">
        <v>441000</v>
      </c>
      <c r="G270" s="20">
        <v>163000</v>
      </c>
      <c r="H270" s="20">
        <v>130000</v>
      </c>
      <c r="I270" s="20">
        <v>48000</v>
      </c>
    </row>
    <row r="271" spans="1:9" ht="16.899999999999999" customHeight="1" x14ac:dyDescent="0.3">
      <c r="A271" s="15"/>
      <c r="B271" s="19" t="s">
        <v>238</v>
      </c>
      <c r="C271" s="16">
        <v>0</v>
      </c>
      <c r="D271" s="20"/>
      <c r="E271" s="16"/>
      <c r="F271" s="16"/>
      <c r="G271" s="16"/>
      <c r="H271" s="16"/>
      <c r="I271" s="20">
        <v>1000</v>
      </c>
    </row>
    <row r="272" spans="1:9" ht="16.899999999999999" customHeight="1" x14ac:dyDescent="0.3">
      <c r="A272" s="15"/>
      <c r="B272" s="19" t="s">
        <v>239</v>
      </c>
      <c r="C272" s="20">
        <v>19000</v>
      </c>
      <c r="D272" s="20">
        <v>28000</v>
      </c>
      <c r="E272" s="20">
        <v>24000</v>
      </c>
      <c r="F272" s="20">
        <v>60000</v>
      </c>
      <c r="G272" s="20">
        <v>34000</v>
      </c>
      <c r="H272" s="20">
        <v>24000</v>
      </c>
      <c r="I272" s="20">
        <v>114000</v>
      </c>
    </row>
    <row r="273" spans="1:9" ht="16.899999999999999" customHeight="1" x14ac:dyDescent="0.3">
      <c r="A273" s="15"/>
      <c r="B273" s="19" t="s">
        <v>240</v>
      </c>
      <c r="C273" s="20"/>
      <c r="D273" s="20"/>
      <c r="E273" s="16"/>
      <c r="F273" s="16"/>
      <c r="G273" s="16"/>
      <c r="H273" s="16"/>
      <c r="I273" s="16"/>
    </row>
    <row r="274" spans="1:9" ht="16.899999999999999" customHeight="1" x14ac:dyDescent="0.3">
      <c r="A274" s="15"/>
      <c r="B274" s="19" t="s">
        <v>241</v>
      </c>
      <c r="C274" s="20"/>
      <c r="D274" s="20"/>
      <c r="E274" s="16"/>
      <c r="F274" s="16"/>
      <c r="G274" s="16"/>
      <c r="H274" s="16"/>
      <c r="I274" s="16"/>
    </row>
    <row r="275" spans="1:9" ht="16.899999999999999" customHeight="1" x14ac:dyDescent="0.3">
      <c r="A275" s="15"/>
      <c r="B275" s="15"/>
      <c r="C275" s="15"/>
      <c r="D275" s="15"/>
      <c r="E275" s="15"/>
      <c r="F275" s="15"/>
      <c r="G275" s="15"/>
      <c r="H275" s="15"/>
      <c r="I275" s="15"/>
    </row>
    <row r="276" spans="1:9" ht="16.899999999999999" customHeight="1" x14ac:dyDescent="0.3">
      <c r="A276" s="15"/>
      <c r="B276" s="19" t="s">
        <v>242</v>
      </c>
      <c r="C276" s="20">
        <v>3538000</v>
      </c>
      <c r="D276" s="20">
        <v>3990000</v>
      </c>
      <c r="E276" s="20">
        <v>4110000</v>
      </c>
      <c r="F276" s="20">
        <v>2625000</v>
      </c>
      <c r="G276" s="20">
        <v>4504000</v>
      </c>
      <c r="H276" s="20">
        <v>4382000</v>
      </c>
      <c r="I276" s="20">
        <v>3984000</v>
      </c>
    </row>
    <row r="277" spans="1:9" ht="27.65" customHeight="1" x14ac:dyDescent="0.3">
      <c r="A277" s="15"/>
      <c r="B277" s="19" t="s">
        <v>243</v>
      </c>
      <c r="C277" s="20">
        <v>1085000</v>
      </c>
      <c r="D277" s="20">
        <v>1192000</v>
      </c>
      <c r="E277" s="20">
        <v>1041000</v>
      </c>
      <c r="F277" s="20">
        <v>776000</v>
      </c>
      <c r="G277" s="20">
        <v>508000</v>
      </c>
      <c r="H277" s="20">
        <v>591000</v>
      </c>
      <c r="I277" s="20">
        <v>0</v>
      </c>
    </row>
    <row r="278" spans="1:9" ht="16.899999999999999" customHeight="1" x14ac:dyDescent="0.3">
      <c r="A278" s="15"/>
      <c r="B278" s="19" t="s">
        <v>244</v>
      </c>
      <c r="C278" s="16">
        <v>1280000</v>
      </c>
      <c r="D278" s="20">
        <v>1363000</v>
      </c>
      <c r="E278" s="20">
        <v>1180000</v>
      </c>
      <c r="F278" s="20">
        <v>919000</v>
      </c>
      <c r="G278" s="20">
        <v>690000</v>
      </c>
      <c r="H278" s="20">
        <v>1041000</v>
      </c>
      <c r="I278" s="20">
        <v>509000</v>
      </c>
    </row>
    <row r="279" spans="1:9" ht="16.899999999999999" customHeight="1" x14ac:dyDescent="0.3">
      <c r="A279" s="15"/>
      <c r="B279" s="19" t="s">
        <v>245</v>
      </c>
      <c r="C279" s="16"/>
      <c r="D279" s="16"/>
      <c r="E279" s="16"/>
      <c r="F279" s="16">
        <v>146000</v>
      </c>
      <c r="G279" s="20">
        <v>-1000</v>
      </c>
      <c r="H279" s="20">
        <v>-191000</v>
      </c>
      <c r="I279" s="20">
        <v>-138000</v>
      </c>
    </row>
    <row r="280" spans="1:9" ht="16.899999999999999" customHeight="1" x14ac:dyDescent="0.3">
      <c r="A280" s="15"/>
      <c r="B280" s="19" t="s">
        <v>246</v>
      </c>
      <c r="C280" s="20">
        <v>-195000</v>
      </c>
      <c r="D280" s="20">
        <v>-171000</v>
      </c>
      <c r="E280" s="20">
        <v>-139000</v>
      </c>
      <c r="F280" s="20">
        <v>-289000</v>
      </c>
      <c r="G280" s="20">
        <v>-181000</v>
      </c>
      <c r="H280" s="20">
        <v>-259000</v>
      </c>
      <c r="I280" s="20">
        <v>-371000</v>
      </c>
    </row>
    <row r="281" spans="1:9" ht="16.899999999999999" customHeight="1" x14ac:dyDescent="0.3">
      <c r="A281" s="15"/>
      <c r="B281" s="19" t="s">
        <v>247</v>
      </c>
      <c r="C281" s="20"/>
      <c r="D281" s="20"/>
      <c r="E281" s="20"/>
      <c r="F281" s="20"/>
      <c r="G281" s="16">
        <v>0</v>
      </c>
      <c r="H281" s="20">
        <v>0</v>
      </c>
      <c r="I281" s="20">
        <v>0</v>
      </c>
    </row>
    <row r="282" spans="1:9" ht="16.899999999999999" customHeight="1" x14ac:dyDescent="0.3">
      <c r="A282" s="15"/>
      <c r="B282" s="19" t="s">
        <v>248</v>
      </c>
      <c r="C282" s="16">
        <v>-195000</v>
      </c>
      <c r="D282" s="16">
        <v>-171000</v>
      </c>
      <c r="E282" s="16">
        <v>-139000</v>
      </c>
      <c r="F282" s="16"/>
      <c r="G282" s="16">
        <v>-181000</v>
      </c>
      <c r="H282" s="20">
        <v>-259000</v>
      </c>
      <c r="I282" s="20">
        <v>-371000</v>
      </c>
    </row>
    <row r="283" spans="1:9" ht="27.65" customHeight="1" x14ac:dyDescent="0.3">
      <c r="A283" s="15"/>
      <c r="B283" s="19" t="s">
        <v>249</v>
      </c>
      <c r="C283" s="16"/>
      <c r="D283" s="16"/>
      <c r="E283" s="16"/>
      <c r="F283" s="16"/>
      <c r="G283" s="16">
        <v>0</v>
      </c>
      <c r="H283" s="16">
        <v>0</v>
      </c>
      <c r="I283" s="16">
        <v>0</v>
      </c>
    </row>
    <row r="284" spans="1:9" ht="16.899999999999999" customHeight="1" x14ac:dyDescent="0.3">
      <c r="A284" s="15"/>
      <c r="B284" s="15"/>
      <c r="C284" s="15"/>
      <c r="D284" s="15"/>
      <c r="E284" s="15"/>
      <c r="F284" s="15"/>
      <c r="G284" s="15"/>
      <c r="H284" s="15"/>
      <c r="I284" s="15"/>
    </row>
    <row r="285" spans="1:9" ht="16.899999999999999" customHeight="1" x14ac:dyDescent="0.3">
      <c r="A285" s="15"/>
      <c r="B285" s="19" t="s">
        <v>250</v>
      </c>
      <c r="C285" s="20">
        <v>2453000</v>
      </c>
      <c r="D285" s="20">
        <v>2798000</v>
      </c>
      <c r="E285" s="20">
        <v>3069000</v>
      </c>
      <c r="F285" s="20">
        <v>1849000</v>
      </c>
      <c r="G285" s="20">
        <v>3996000</v>
      </c>
      <c r="H285" s="20">
        <v>3791000</v>
      </c>
      <c r="I285" s="20">
        <v>3984000</v>
      </c>
    </row>
    <row r="286" spans="1:9" ht="16.899999999999999" customHeight="1" x14ac:dyDescent="0.3">
      <c r="A286" s="15"/>
      <c r="B286" s="19" t="s">
        <v>251</v>
      </c>
      <c r="C286" s="20"/>
      <c r="D286" s="20"/>
      <c r="E286" s="20"/>
      <c r="F286" s="20"/>
      <c r="G286" s="20"/>
      <c r="H286" s="20"/>
      <c r="I286" s="20"/>
    </row>
    <row r="287" spans="1:9" ht="27.65" customHeight="1" x14ac:dyDescent="0.3">
      <c r="A287" s="15"/>
      <c r="B287" s="19" t="s">
        <v>252</v>
      </c>
      <c r="C287" s="20">
        <v>2453000</v>
      </c>
      <c r="D287" s="20">
        <v>2798000</v>
      </c>
      <c r="E287" s="20">
        <v>3069000</v>
      </c>
      <c r="F287" s="20">
        <v>1849000</v>
      </c>
      <c r="G287" s="20">
        <v>3996000</v>
      </c>
      <c r="H287" s="20">
        <v>3791000</v>
      </c>
      <c r="I287" s="20">
        <v>3984000</v>
      </c>
    </row>
    <row r="288" spans="1:9" ht="16.899999999999999" customHeight="1" x14ac:dyDescent="0.3">
      <c r="A288" s="15"/>
      <c r="B288" s="15"/>
      <c r="C288" s="15"/>
      <c r="D288" s="15"/>
      <c r="E288" s="15"/>
      <c r="F288" s="15"/>
      <c r="G288" s="15"/>
      <c r="H288" s="15"/>
      <c r="I288" s="15"/>
    </row>
    <row r="289" spans="1:9" ht="16.899999999999999" customHeight="1" x14ac:dyDescent="0.3">
      <c r="A289" s="15"/>
      <c r="B289" s="19" t="s">
        <v>253</v>
      </c>
      <c r="C289" s="25">
        <v>110</v>
      </c>
      <c r="D289" s="25">
        <v>105</v>
      </c>
      <c r="E289" s="25">
        <v>94</v>
      </c>
      <c r="F289" s="25">
        <v>103</v>
      </c>
      <c r="G289" s="25">
        <v>96</v>
      </c>
      <c r="H289" s="25">
        <v>95</v>
      </c>
      <c r="I289" s="25">
        <v>119</v>
      </c>
    </row>
    <row r="290" spans="1:9" ht="16.899999999999999" customHeight="1" x14ac:dyDescent="0.3">
      <c r="A290" s="15"/>
      <c r="B290" s="15"/>
      <c r="C290" s="15"/>
      <c r="D290" s="15"/>
      <c r="E290" s="15"/>
      <c r="F290" s="15"/>
      <c r="G290" s="15"/>
      <c r="H290" s="15"/>
      <c r="I290" s="15"/>
    </row>
  </sheetData>
  <pageMargins left="0.7" right="0.7" top="0.75" bottom="0.75" header="0.3" footer="0.3"/>
  <pageSetup paperSize="8" scale="32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Football field</vt:lpstr>
      <vt:lpstr>DCF</vt:lpstr>
      <vt:lpstr>Income method</vt:lpstr>
      <vt:lpstr>Patrimoniale e misto</vt:lpstr>
      <vt:lpstr>Multipli di transazioni</vt:lpstr>
      <vt:lpstr>Multipli di borsa</vt:lpstr>
      <vt:lpstr>Proiezioni</vt:lpstr>
      <vt:lpstr>Actual data</vt:lpstr>
      <vt:lpstr>Mapping</vt:lpstr>
      <vt:lpstr>Aida export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Fornaroli</dc:creator>
  <cp:lastModifiedBy>Antonio Zennaro</cp:lastModifiedBy>
  <dcterms:created xsi:type="dcterms:W3CDTF">2020-12-16T14:22:46Z</dcterms:created>
  <dcterms:modified xsi:type="dcterms:W3CDTF">2025-12-17T15:30:05Z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randFormat">
    <vt:lpwstr>1.0</vt:lpwstr>
  </property>
  <property fmtid="{D5CDD505-2E9C-101B-9397-08002B2CF9AE}" pid="3" name="Smrt_NotesFontSize">
    <vt:lpwstr>8</vt:lpwstr>
  </property>
  <property fmtid="{D5CDD505-2E9C-101B-9397-08002B2CF9AE}" pid="4" name="Smrt_WorkbookThemeColor">
    <vt:lpwstr>PwC Orange</vt:lpwstr>
  </property>
  <property fmtid="{D5CDD505-2E9C-101B-9397-08002B2CF9AE}" pid="5" name="Smrt_WorkbookNumberDisplay">
    <vt:lpwstr>0</vt:lpwstr>
  </property>
  <property fmtid="{D5CDD505-2E9C-101B-9397-08002B2CF9AE}" pid="6" name="Smrt_WorkbookPercentageDisplay">
    <vt:lpwstr>1</vt:lpwstr>
  </property>
  <property fmtid="{D5CDD505-2E9C-101B-9397-08002B2CF9AE}" pid="7" name="MSIP_Label_2e1840fb-8939-4796-95d0-bc833736564d_Enabled">
    <vt:lpwstr>true</vt:lpwstr>
  </property>
  <property fmtid="{D5CDD505-2E9C-101B-9397-08002B2CF9AE}" pid="8" name="MSIP_Label_2e1840fb-8939-4796-95d0-bc833736564d_SetDate">
    <vt:lpwstr>2025-09-29T15:33:23Z</vt:lpwstr>
  </property>
  <property fmtid="{D5CDD505-2E9C-101B-9397-08002B2CF9AE}" pid="9" name="MSIP_Label_2e1840fb-8939-4796-95d0-bc833736564d_Method">
    <vt:lpwstr>Standard</vt:lpwstr>
  </property>
  <property fmtid="{D5CDD505-2E9C-101B-9397-08002B2CF9AE}" pid="10" name="MSIP_Label_2e1840fb-8939-4796-95d0-bc833736564d_Name">
    <vt:lpwstr>Confidential - Open Access</vt:lpwstr>
  </property>
  <property fmtid="{D5CDD505-2E9C-101B-9397-08002B2CF9AE}" pid="11" name="MSIP_Label_2e1840fb-8939-4796-95d0-bc833736564d_SiteId">
    <vt:lpwstr>513294a0-3e20-41b2-a970-6d30bf1546fa</vt:lpwstr>
  </property>
  <property fmtid="{D5CDD505-2E9C-101B-9397-08002B2CF9AE}" pid="12" name="MSIP_Label_2e1840fb-8939-4796-95d0-bc833736564d_ActionId">
    <vt:lpwstr>125f45b0-6563-4246-acf8-95e0b37a50c1</vt:lpwstr>
  </property>
  <property fmtid="{D5CDD505-2E9C-101B-9397-08002B2CF9AE}" pid="13" name="MSIP_Label_2e1840fb-8939-4796-95d0-bc833736564d_ContentBits">
    <vt:lpwstr>0</vt:lpwstr>
  </property>
  <property fmtid="{D5CDD505-2E9C-101B-9397-08002B2CF9AE}" pid="14" name="MSIP_Label_2e1840fb-8939-4796-95d0-bc833736564d_Tag">
    <vt:lpwstr>10, 3, 0, 1</vt:lpwstr>
  </property>
</Properties>
</file>